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\Documents\INACAP\Clases Primavera\Primavera\Finanzas Logística\"/>
    </mc:Choice>
  </mc:AlternateContent>
  <xr:revisionPtr revIDLastSave="0" documentId="13_ncr:1_{BEE88542-0029-4CCF-9937-209F6FFA9B6A}" xr6:coauthVersionLast="47" xr6:coauthVersionMax="47" xr10:uidLastSave="{00000000-0000-0000-0000-000000000000}"/>
  <bookViews>
    <workbookView xWindow="11424" yWindow="0" windowWidth="11712" windowHeight="12336" xr2:uid="{4E3FD72C-F67E-4238-8C02-F614044E6BC6}"/>
  </bookViews>
  <sheets>
    <sheet name="Ejercicio I" sheetId="2" r:id="rId1"/>
    <sheet name="Ejercicio II" sheetId="3" r:id="rId2"/>
    <sheet name="Ejercicio III" sheetId="4" r:id="rId3"/>
    <sheet name="Ejercicio IV" sheetId="5" r:id="rId4"/>
    <sheet name="Ejercicio V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2" l="1"/>
  <c r="F35" i="2"/>
  <c r="E35" i="2"/>
  <c r="D35" i="2"/>
  <c r="D34" i="2"/>
  <c r="D52" i="2"/>
  <c r="G56" i="2"/>
  <c r="F56" i="2"/>
  <c r="M78" i="6"/>
  <c r="M77" i="6"/>
  <c r="M76" i="6"/>
  <c r="M70" i="6"/>
  <c r="M71" i="6" s="1"/>
  <c r="M63" i="6"/>
  <c r="M64" i="6" s="1"/>
  <c r="Q56" i="6"/>
  <c r="M56" i="6"/>
  <c r="M55" i="6"/>
  <c r="N52" i="6"/>
  <c r="N67" i="6" s="1"/>
  <c r="O67" i="6" s="1"/>
  <c r="D45" i="6"/>
  <c r="E44" i="6"/>
  <c r="G44" i="6" s="1"/>
  <c r="H44" i="6" s="1"/>
  <c r="G43" i="6"/>
  <c r="F42" i="6"/>
  <c r="F45" i="6" s="1"/>
  <c r="E42" i="6"/>
  <c r="E34" i="6"/>
  <c r="D34" i="6"/>
  <c r="E33" i="6"/>
  <c r="F33" i="6" s="1"/>
  <c r="G33" i="6" s="1"/>
  <c r="H33" i="6" s="1"/>
  <c r="I33" i="6" s="1"/>
  <c r="E32" i="6"/>
  <c r="F32" i="6" s="1"/>
  <c r="G32" i="6" s="1"/>
  <c r="H32" i="6" s="1"/>
  <c r="E31" i="6"/>
  <c r="F31" i="6" s="1"/>
  <c r="F28" i="6"/>
  <c r="E28" i="6"/>
  <c r="D28" i="6"/>
  <c r="G21" i="6"/>
  <c r="G19" i="6"/>
  <c r="F18" i="6"/>
  <c r="F20" i="6" s="1"/>
  <c r="F29" i="6" s="1"/>
  <c r="E18" i="6"/>
  <c r="E20" i="6" s="1"/>
  <c r="E29" i="6" s="1"/>
  <c r="E35" i="6" s="1"/>
  <c r="D18" i="6"/>
  <c r="D20" i="6" s="1"/>
  <c r="E9" i="6"/>
  <c r="F9" i="6" s="1"/>
  <c r="D9" i="6"/>
  <c r="C9" i="6"/>
  <c r="F8" i="6"/>
  <c r="F7" i="6"/>
  <c r="M77" i="5"/>
  <c r="M76" i="5"/>
  <c r="M78" i="5" s="1"/>
  <c r="M71" i="5"/>
  <c r="M70" i="5"/>
  <c r="M63" i="5"/>
  <c r="M64" i="5" s="1"/>
  <c r="Q56" i="5"/>
  <c r="M56" i="5"/>
  <c r="M55" i="5"/>
  <c r="N52" i="5"/>
  <c r="N60" i="5" s="1"/>
  <c r="O60" i="5" s="1"/>
  <c r="D45" i="5"/>
  <c r="G44" i="5"/>
  <c r="H44" i="5" s="1"/>
  <c r="E44" i="5"/>
  <c r="G43" i="5"/>
  <c r="E42" i="5"/>
  <c r="D34" i="5"/>
  <c r="F33" i="5"/>
  <c r="G33" i="5" s="1"/>
  <c r="H33" i="5" s="1"/>
  <c r="I33" i="5" s="1"/>
  <c r="E33" i="5"/>
  <c r="G32" i="5"/>
  <c r="H32" i="5" s="1"/>
  <c r="F32" i="5"/>
  <c r="E32" i="5"/>
  <c r="E31" i="5"/>
  <c r="F31" i="5" s="1"/>
  <c r="F28" i="5"/>
  <c r="E28" i="5"/>
  <c r="D28" i="5"/>
  <c r="G21" i="5"/>
  <c r="G19" i="5"/>
  <c r="F18" i="5"/>
  <c r="F20" i="5" s="1"/>
  <c r="F29" i="5" s="1"/>
  <c r="E18" i="5"/>
  <c r="E20" i="5" s="1"/>
  <c r="E29" i="5" s="1"/>
  <c r="D18" i="5"/>
  <c r="G18" i="5" s="1"/>
  <c r="E9" i="5"/>
  <c r="D9" i="5"/>
  <c r="C9" i="5"/>
  <c r="F9" i="5" s="1"/>
  <c r="F8" i="5"/>
  <c r="F7" i="5"/>
  <c r="H44" i="4"/>
  <c r="I34" i="4"/>
  <c r="I33" i="4"/>
  <c r="G56" i="4"/>
  <c r="N74" i="4" s="1"/>
  <c r="O74" i="4" s="1"/>
  <c r="E44" i="4"/>
  <c r="G44" i="4" s="1"/>
  <c r="F42" i="4"/>
  <c r="F45" i="4" s="1"/>
  <c r="E42" i="4"/>
  <c r="E32" i="4"/>
  <c r="F32" i="4"/>
  <c r="E33" i="4"/>
  <c r="F33" i="4"/>
  <c r="G33" i="4" s="1"/>
  <c r="H33" i="4" s="1"/>
  <c r="F31" i="4"/>
  <c r="I31" i="4" s="1"/>
  <c r="E31" i="4"/>
  <c r="E34" i="4" s="1"/>
  <c r="M77" i="4"/>
  <c r="M76" i="4"/>
  <c r="M78" i="4" s="1"/>
  <c r="M71" i="4"/>
  <c r="M70" i="4"/>
  <c r="M63" i="4"/>
  <c r="M64" i="4" s="1"/>
  <c r="Q56" i="4"/>
  <c r="N52" i="4" s="1"/>
  <c r="M56" i="4"/>
  <c r="M55" i="4"/>
  <c r="D45" i="4"/>
  <c r="G43" i="4"/>
  <c r="D34" i="4"/>
  <c r="G32" i="4"/>
  <c r="H32" i="4" s="1"/>
  <c r="F28" i="4"/>
  <c r="E28" i="4"/>
  <c r="D28" i="4"/>
  <c r="G21" i="4"/>
  <c r="D20" i="4"/>
  <c r="D29" i="4" s="1"/>
  <c r="G19" i="4"/>
  <c r="F18" i="4"/>
  <c r="F20" i="4" s="1"/>
  <c r="F29" i="4" s="1"/>
  <c r="E18" i="4"/>
  <c r="E20" i="4" s="1"/>
  <c r="D18" i="4"/>
  <c r="E9" i="4"/>
  <c r="D9" i="4"/>
  <c r="C9" i="4"/>
  <c r="F9" i="4" s="1"/>
  <c r="F8" i="4"/>
  <c r="F7" i="4"/>
  <c r="G73" i="3"/>
  <c r="G67" i="3"/>
  <c r="G33" i="3"/>
  <c r="G34" i="3" s="1"/>
  <c r="G32" i="3"/>
  <c r="H32" i="3" s="1"/>
  <c r="G31" i="3"/>
  <c r="E35" i="3"/>
  <c r="D35" i="3"/>
  <c r="G35" i="3"/>
  <c r="H33" i="3"/>
  <c r="G19" i="3"/>
  <c r="G20" i="3"/>
  <c r="G21" i="3"/>
  <c r="G18" i="3"/>
  <c r="M78" i="3"/>
  <c r="M77" i="3"/>
  <c r="M76" i="3"/>
  <c r="M70" i="3"/>
  <c r="M71" i="3"/>
  <c r="M63" i="3"/>
  <c r="M64" i="3"/>
  <c r="Q56" i="3"/>
  <c r="M56" i="3"/>
  <c r="G64" i="3"/>
  <c r="M55" i="3"/>
  <c r="N52" i="3"/>
  <c r="N67" i="3" s="1"/>
  <c r="O67" i="3" s="1"/>
  <c r="F45" i="3"/>
  <c r="E45" i="3"/>
  <c r="D45" i="3"/>
  <c r="G45" i="3" s="1"/>
  <c r="G44" i="3"/>
  <c r="H44" i="3" s="1"/>
  <c r="G43" i="3"/>
  <c r="G42" i="3"/>
  <c r="H42" i="3" s="1"/>
  <c r="H45" i="3" s="1"/>
  <c r="F34" i="3"/>
  <c r="E34" i="3"/>
  <c r="D34" i="3"/>
  <c r="I31" i="3"/>
  <c r="I34" i="3" s="1"/>
  <c r="N75" i="3" s="1"/>
  <c r="O75" i="3" s="1"/>
  <c r="F28" i="3"/>
  <c r="E28" i="3"/>
  <c r="D28" i="3"/>
  <c r="F18" i="3"/>
  <c r="F20" i="3" s="1"/>
  <c r="F29" i="3" s="1"/>
  <c r="E18" i="3"/>
  <c r="E20" i="3" s="1"/>
  <c r="E29" i="3" s="1"/>
  <c r="D18" i="3"/>
  <c r="D20" i="3" s="1"/>
  <c r="D29" i="3" s="1"/>
  <c r="E9" i="3"/>
  <c r="D9" i="3"/>
  <c r="C9" i="3"/>
  <c r="F8" i="3"/>
  <c r="F7" i="3"/>
  <c r="D86" i="2"/>
  <c r="D85" i="2"/>
  <c r="H45" i="2"/>
  <c r="H42" i="2"/>
  <c r="H44" i="2"/>
  <c r="N75" i="2"/>
  <c r="N68" i="2"/>
  <c r="H34" i="2"/>
  <c r="H33" i="2"/>
  <c r="H32" i="2"/>
  <c r="H31" i="2"/>
  <c r="G43" i="2"/>
  <c r="G44" i="2"/>
  <c r="G45" i="2"/>
  <c r="G42" i="2"/>
  <c r="G34" i="2"/>
  <c r="N53" i="2" s="1"/>
  <c r="G32" i="2"/>
  <c r="G33" i="2"/>
  <c r="G31" i="2"/>
  <c r="M77" i="2"/>
  <c r="M76" i="2"/>
  <c r="M71" i="2"/>
  <c r="M70" i="2"/>
  <c r="M69" i="2"/>
  <c r="M63" i="2"/>
  <c r="M62" i="2"/>
  <c r="M64" i="2" s="1"/>
  <c r="Q56" i="2"/>
  <c r="N52" i="2" s="1"/>
  <c r="M55" i="2"/>
  <c r="D81" i="2"/>
  <c r="I31" i="2"/>
  <c r="I34" i="2" s="1"/>
  <c r="O75" i="2" s="1"/>
  <c r="E45" i="2"/>
  <c r="F45" i="2"/>
  <c r="D45" i="2"/>
  <c r="E34" i="2"/>
  <c r="F34" i="2"/>
  <c r="F18" i="2"/>
  <c r="F20" i="2" s="1"/>
  <c r="F29" i="2" s="1"/>
  <c r="E18" i="2"/>
  <c r="E20" i="2" s="1"/>
  <c r="E29" i="2" s="1"/>
  <c r="D18" i="2"/>
  <c r="D20" i="2" s="1"/>
  <c r="D29" i="2" s="1"/>
  <c r="F28" i="2"/>
  <c r="E28" i="2"/>
  <c r="D28" i="2"/>
  <c r="E9" i="2"/>
  <c r="D9" i="2"/>
  <c r="C9" i="2"/>
  <c r="F8" i="2"/>
  <c r="F7" i="2"/>
  <c r="D67" i="2" s="1"/>
  <c r="D82" i="2" l="1"/>
  <c r="G20" i="6"/>
  <c r="G56" i="6" s="1"/>
  <c r="D29" i="6"/>
  <c r="G45" i="6"/>
  <c r="G31" i="6"/>
  <c r="F34" i="6"/>
  <c r="F35" i="6" s="1"/>
  <c r="I31" i="6"/>
  <c r="I34" i="6" s="1"/>
  <c r="N75" i="6" s="1"/>
  <c r="O75" i="6" s="1"/>
  <c r="G42" i="6"/>
  <c r="H42" i="6" s="1"/>
  <c r="H45" i="6" s="1"/>
  <c r="G18" i="6"/>
  <c r="E45" i="6"/>
  <c r="N60" i="6"/>
  <c r="O60" i="6" s="1"/>
  <c r="O52" i="6"/>
  <c r="D20" i="5"/>
  <c r="D29" i="5" s="1"/>
  <c r="G29" i="5" s="1"/>
  <c r="H29" i="5" s="1"/>
  <c r="I31" i="5"/>
  <c r="I34" i="5" s="1"/>
  <c r="N75" i="5" s="1"/>
  <c r="O75" i="5" s="1"/>
  <c r="F34" i="5"/>
  <c r="G31" i="5"/>
  <c r="F35" i="5"/>
  <c r="D35" i="5"/>
  <c r="E35" i="5"/>
  <c r="G42" i="5"/>
  <c r="H42" i="5" s="1"/>
  <c r="H45" i="5" s="1"/>
  <c r="E45" i="5"/>
  <c r="G45" i="5" s="1"/>
  <c r="N67" i="5"/>
  <c r="O67" i="5" s="1"/>
  <c r="E34" i="5"/>
  <c r="F42" i="5"/>
  <c r="F45" i="5" s="1"/>
  <c r="O52" i="5"/>
  <c r="G67" i="4"/>
  <c r="G73" i="4" s="1"/>
  <c r="N75" i="4"/>
  <c r="O75" i="4" s="1"/>
  <c r="O76" i="4" s="1"/>
  <c r="D52" i="4"/>
  <c r="D74" i="4" s="1"/>
  <c r="G64" i="4"/>
  <c r="D60" i="4" s="1"/>
  <c r="E45" i="4"/>
  <c r="G42" i="4"/>
  <c r="H42" i="4" s="1"/>
  <c r="H45" i="4" s="1"/>
  <c r="O77" i="4" s="1"/>
  <c r="G45" i="4"/>
  <c r="D55" i="4" s="1"/>
  <c r="F34" i="4"/>
  <c r="F35" i="4" s="1"/>
  <c r="G31" i="4"/>
  <c r="G34" i="4" s="1"/>
  <c r="N53" i="4" s="1"/>
  <c r="O53" i="4" s="1"/>
  <c r="G18" i="4"/>
  <c r="N60" i="4"/>
  <c r="O60" i="4" s="1"/>
  <c r="O52" i="4"/>
  <c r="N67" i="4"/>
  <c r="O67" i="4" s="1"/>
  <c r="G29" i="4"/>
  <c r="H29" i="4" s="1"/>
  <c r="D35" i="4"/>
  <c r="G20" i="4"/>
  <c r="E29" i="4"/>
  <c r="E35" i="4" s="1"/>
  <c r="D67" i="3"/>
  <c r="N53" i="3"/>
  <c r="N61" i="3" s="1"/>
  <c r="O61" i="3" s="1"/>
  <c r="H31" i="3"/>
  <c r="H34" i="3" s="1"/>
  <c r="N68" i="3" s="1"/>
  <c r="O68" i="3" s="1"/>
  <c r="O69" i="3" s="1"/>
  <c r="F35" i="3"/>
  <c r="D60" i="3"/>
  <c r="F9" i="3"/>
  <c r="D52" i="3"/>
  <c r="D74" i="3" s="1"/>
  <c r="G29" i="3"/>
  <c r="H29" i="3" s="1"/>
  <c r="O77" i="3"/>
  <c r="D77" i="3"/>
  <c r="O55" i="3"/>
  <c r="D55" i="3"/>
  <c r="O70" i="3"/>
  <c r="O63" i="3"/>
  <c r="N74" i="3"/>
  <c r="O74" i="3" s="1"/>
  <c r="O76" i="3" s="1"/>
  <c r="O52" i="3"/>
  <c r="N60" i="3"/>
  <c r="O60" i="3" s="1"/>
  <c r="M78" i="2"/>
  <c r="D74" i="2"/>
  <c r="N60" i="2"/>
  <c r="O60" i="2" s="1"/>
  <c r="O52" i="2"/>
  <c r="N67" i="2"/>
  <c r="O67" i="2" s="1"/>
  <c r="O53" i="2"/>
  <c r="N61" i="2"/>
  <c r="O61" i="2" s="1"/>
  <c r="O62" i="2" s="1"/>
  <c r="O68" i="2"/>
  <c r="G64" i="2"/>
  <c r="D60" i="2"/>
  <c r="N74" i="2"/>
  <c r="O74" i="2" s="1"/>
  <c r="O76" i="2" s="1"/>
  <c r="M56" i="2"/>
  <c r="G29" i="2"/>
  <c r="H29" i="2" s="1"/>
  <c r="I29" i="2" s="1"/>
  <c r="I35" i="2" s="1"/>
  <c r="D75" i="2" s="1"/>
  <c r="F9" i="2"/>
  <c r="O77" i="6" l="1"/>
  <c r="D77" i="6"/>
  <c r="G34" i="6"/>
  <c r="N53" i="6" s="1"/>
  <c r="H31" i="6"/>
  <c r="H34" i="6" s="1"/>
  <c r="N68" i="6" s="1"/>
  <c r="O68" i="6" s="1"/>
  <c r="O69" i="6" s="1"/>
  <c r="O71" i="6" s="1"/>
  <c r="O55" i="6"/>
  <c r="D55" i="6"/>
  <c r="O70" i="6"/>
  <c r="O63" i="6"/>
  <c r="G67" i="6"/>
  <c r="G64" i="6"/>
  <c r="D60" i="6" s="1"/>
  <c r="D52" i="6"/>
  <c r="N74" i="6"/>
  <c r="O74" i="6" s="1"/>
  <c r="O76" i="6" s="1"/>
  <c r="O78" i="6" s="1"/>
  <c r="D35" i="6"/>
  <c r="G35" i="6" s="1"/>
  <c r="D53" i="6" s="1"/>
  <c r="D61" i="6" s="1"/>
  <c r="G29" i="6"/>
  <c r="H29" i="6" s="1"/>
  <c r="G20" i="5"/>
  <c r="G56" i="5" s="1"/>
  <c r="D52" i="5" s="1"/>
  <c r="O63" i="5"/>
  <c r="O55" i="5"/>
  <c r="D55" i="5"/>
  <c r="O70" i="5"/>
  <c r="O77" i="5"/>
  <c r="D77" i="5"/>
  <c r="G35" i="5"/>
  <c r="D53" i="5" s="1"/>
  <c r="D61" i="5" s="1"/>
  <c r="H35" i="5"/>
  <c r="D68" i="5" s="1"/>
  <c r="I29" i="5"/>
  <c r="I35" i="5" s="1"/>
  <c r="D75" i="5" s="1"/>
  <c r="G34" i="5"/>
  <c r="N53" i="5" s="1"/>
  <c r="H31" i="5"/>
  <c r="H34" i="5" s="1"/>
  <c r="N68" i="5" s="1"/>
  <c r="O68" i="5" s="1"/>
  <c r="O69" i="5" s="1"/>
  <c r="O71" i="5" s="1"/>
  <c r="D67" i="4"/>
  <c r="O78" i="4"/>
  <c r="D77" i="4"/>
  <c r="D85" i="4" s="1"/>
  <c r="O70" i="4"/>
  <c r="O63" i="4"/>
  <c r="O55" i="4"/>
  <c r="H31" i="4"/>
  <c r="H34" i="4" s="1"/>
  <c r="N68" i="4" s="1"/>
  <c r="O68" i="4" s="1"/>
  <c r="O69" i="4" s="1"/>
  <c r="N61" i="4"/>
  <c r="O61" i="4" s="1"/>
  <c r="O62" i="4"/>
  <c r="D82" i="4"/>
  <c r="D81" i="4"/>
  <c r="I52" i="4"/>
  <c r="D63" i="4"/>
  <c r="D70" i="4" s="1"/>
  <c r="I51" i="4"/>
  <c r="I29" i="4"/>
  <c r="I35" i="4" s="1"/>
  <c r="D75" i="4" s="1"/>
  <c r="D76" i="4" s="1"/>
  <c r="G35" i="4"/>
  <c r="D53" i="4" s="1"/>
  <c r="O54" i="4"/>
  <c r="O56" i="4" s="1"/>
  <c r="O53" i="3"/>
  <c r="O54" i="3" s="1"/>
  <c r="O56" i="3" s="1"/>
  <c r="O62" i="3"/>
  <c r="O64" i="3" s="1"/>
  <c r="D53" i="3"/>
  <c r="D61" i="3" s="1"/>
  <c r="D62" i="3" s="1"/>
  <c r="H35" i="3"/>
  <c r="D68" i="3" s="1"/>
  <c r="D69" i="3" s="1"/>
  <c r="D71" i="3" s="1"/>
  <c r="I29" i="3"/>
  <c r="I35" i="3" s="1"/>
  <c r="D75" i="3" s="1"/>
  <c r="D76" i="3" s="1"/>
  <c r="D78" i="3" s="1"/>
  <c r="O71" i="3"/>
  <c r="D86" i="3"/>
  <c r="D85" i="3"/>
  <c r="O78" i="3"/>
  <c r="I51" i="3"/>
  <c r="D82" i="3"/>
  <c r="D81" i="3"/>
  <c r="D63" i="3"/>
  <c r="D70" i="3" s="1"/>
  <c r="I52" i="3"/>
  <c r="O69" i="2"/>
  <c r="D76" i="2"/>
  <c r="D55" i="2"/>
  <c r="O63" i="2"/>
  <c r="O64" i="2" s="1"/>
  <c r="O70" i="2"/>
  <c r="O55" i="2"/>
  <c r="H35" i="2"/>
  <c r="D68" i="2" s="1"/>
  <c r="D69" i="2" s="1"/>
  <c r="D82" i="6" l="1"/>
  <c r="D81" i="6"/>
  <c r="D63" i="6"/>
  <c r="D70" i="6" s="1"/>
  <c r="I52" i="6"/>
  <c r="I51" i="6"/>
  <c r="I29" i="6"/>
  <c r="I35" i="6" s="1"/>
  <c r="D75" i="6" s="1"/>
  <c r="H35" i="6"/>
  <c r="D68" i="6" s="1"/>
  <c r="N61" i="6"/>
  <c r="O61" i="6" s="1"/>
  <c r="O62" i="6" s="1"/>
  <c r="O64" i="6" s="1"/>
  <c r="O53" i="6"/>
  <c r="O54" i="6" s="1"/>
  <c r="O56" i="6" s="1"/>
  <c r="D54" i="6"/>
  <c r="D56" i="6" s="1"/>
  <c r="D74" i="6"/>
  <c r="D76" i="6" s="1"/>
  <c r="D78" i="6" s="1"/>
  <c r="D62" i="6"/>
  <c r="G73" i="6"/>
  <c r="D85" i="6" s="1"/>
  <c r="D67" i="6"/>
  <c r="D69" i="6" s="1"/>
  <c r="N74" i="5"/>
  <c r="O74" i="5" s="1"/>
  <c r="O76" i="5" s="1"/>
  <c r="G67" i="5"/>
  <c r="G73" i="5" s="1"/>
  <c r="D86" i="5" s="1"/>
  <c r="G64" i="5"/>
  <c r="D60" i="5" s="1"/>
  <c r="D62" i="5" s="1"/>
  <c r="O53" i="5"/>
  <c r="O54" i="5" s="1"/>
  <c r="O56" i="5" s="1"/>
  <c r="N61" i="5"/>
  <c r="O61" i="5" s="1"/>
  <c r="O62" i="5" s="1"/>
  <c r="O64" i="5" s="1"/>
  <c r="D74" i="5"/>
  <c r="D76" i="5" s="1"/>
  <c r="D78" i="5" s="1"/>
  <c r="D54" i="5"/>
  <c r="D56" i="5" s="1"/>
  <c r="D82" i="5"/>
  <c r="D81" i="5"/>
  <c r="D63" i="5"/>
  <c r="D70" i="5" s="1"/>
  <c r="I52" i="5"/>
  <c r="I51" i="5"/>
  <c r="O78" i="5"/>
  <c r="D86" i="4"/>
  <c r="D78" i="4"/>
  <c r="O71" i="4"/>
  <c r="O64" i="4"/>
  <c r="H35" i="4"/>
  <c r="D68" i="4" s="1"/>
  <c r="D69" i="4" s="1"/>
  <c r="D71" i="4" s="1"/>
  <c r="D61" i="4"/>
  <c r="D62" i="4" s="1"/>
  <c r="D64" i="4" s="1"/>
  <c r="D54" i="4"/>
  <c r="D56" i="4" s="1"/>
  <c r="D54" i="3"/>
  <c r="D56" i="3" s="1"/>
  <c r="D64" i="3"/>
  <c r="O71" i="2"/>
  <c r="D77" i="2"/>
  <c r="O77" i="2"/>
  <c r="O78" i="2" s="1"/>
  <c r="D63" i="2"/>
  <c r="D70" i="2" s="1"/>
  <c r="D71" i="2" s="1"/>
  <c r="I52" i="2"/>
  <c r="I51" i="2"/>
  <c r="D53" i="2"/>
  <c r="D71" i="6" l="1"/>
  <c r="D64" i="6"/>
  <c r="D86" i="6"/>
  <c r="D67" i="5"/>
  <c r="D69" i="5" s="1"/>
  <c r="D71" i="5" s="1"/>
  <c r="D85" i="5"/>
  <c r="D64" i="5"/>
  <c r="D78" i="2"/>
  <c r="D54" i="2"/>
  <c r="D56" i="2" s="1"/>
  <c r="D61" i="2"/>
  <c r="D62" i="2" s="1"/>
  <c r="D64" i="2" s="1"/>
  <c r="O54" i="2"/>
  <c r="O56" i="2" s="1"/>
</calcChain>
</file>

<file path=xl/sharedStrings.xml><?xml version="1.0" encoding="utf-8"?>
<sst xmlns="http://schemas.openxmlformats.org/spreadsheetml/2006/main" count="647" uniqueCount="67">
  <si>
    <t>Paso 1: Presupuesto de Ventas</t>
  </si>
  <si>
    <t>El presupuesto de ventas se calcula multiplicando las unidades proyectadas por el precio de venta.</t>
  </si>
  <si>
    <t>Enero</t>
  </si>
  <si>
    <t>Febrero</t>
  </si>
  <si>
    <t>Marzo</t>
  </si>
  <si>
    <t>Unidades</t>
  </si>
  <si>
    <t>Venta ($)</t>
  </si>
  <si>
    <t>Precio ($)</t>
  </si>
  <si>
    <t>Totales</t>
  </si>
  <si>
    <t>Paso 2: Presupuesto de Producción</t>
  </si>
  <si>
    <t>Concepto</t>
  </si>
  <si>
    <t>Ventas Proyectadas (unidades)</t>
  </si>
  <si>
    <t xml:space="preserve"> (+) Inventario Final Deseado</t>
  </si>
  <si>
    <t xml:space="preserve"> (-) Inventario Inicial</t>
  </si>
  <si>
    <t>Primero, se calcula la cantidad de material requerida y luego el costo de compra.</t>
  </si>
  <si>
    <t>Unidades a producir</t>
  </si>
  <si>
    <t>Se suman los costos variables y fijos. Los costos variables se basan en las horas de mano de obra directa.</t>
  </si>
  <si>
    <t>Paso 7: Estado de Resultados Proyectado (Resumen Trimestral)</t>
  </si>
  <si>
    <t>Este resumen consolida todos los presupuestos para mostrar la rentabilidad esperada</t>
  </si>
  <si>
    <t>Valor Trimestral</t>
  </si>
  <si>
    <t>Ingresos por venta</t>
  </si>
  <si>
    <t>Costo de venta</t>
  </si>
  <si>
    <t>Margen Bruto</t>
  </si>
  <si>
    <t>Gastos Fijos</t>
  </si>
  <si>
    <t>Margen operacional</t>
  </si>
  <si>
    <t>Mataeria Prima</t>
  </si>
  <si>
    <t>Harina, Azúcar, Huevos</t>
  </si>
  <si>
    <t>Paso 3: Presupuesto de producción</t>
  </si>
  <si>
    <t>Mano de Obra Directa</t>
  </si>
  <si>
    <t>CIF</t>
  </si>
  <si>
    <t>Paso 5: Presupuesto de Gastos de ventas y administración</t>
  </si>
  <si>
    <t>Gastos de venta</t>
  </si>
  <si>
    <t>Gastos de administración</t>
  </si>
  <si>
    <t>Total</t>
  </si>
  <si>
    <t>1.</t>
  </si>
  <si>
    <t>2.</t>
  </si>
  <si>
    <t>3.</t>
  </si>
  <si>
    <t>4.</t>
  </si>
  <si>
    <t>Q e</t>
  </si>
  <si>
    <t>$e</t>
  </si>
  <si>
    <t>Precio/costo</t>
  </si>
  <si>
    <t>Total $</t>
  </si>
  <si>
    <t>Este presupuesto determina cuántas unidades se deben producir. En este ejercicio lamproducción y las ventas son iguales. No stock inicial ni final</t>
  </si>
  <si>
    <t xml:space="preserve"> (=) Total requerido de producción</t>
  </si>
  <si>
    <t xml:space="preserve"> (-) costo producción</t>
  </si>
  <si>
    <t>Trimestre</t>
  </si>
  <si>
    <t>Comisiones</t>
  </si>
  <si>
    <t>Trimistre</t>
  </si>
  <si>
    <t xml:space="preserve"> = Precio para alcanzar la utilidad deseada</t>
  </si>
  <si>
    <t xml:space="preserve"> = Precio menos 10%</t>
  </si>
  <si>
    <t>M.P. 10% mayor</t>
  </si>
  <si>
    <t>M.O. menor</t>
  </si>
  <si>
    <t xml:space="preserve"> = M.P.</t>
  </si>
  <si>
    <t xml:space="preserve"> = M.O</t>
  </si>
  <si>
    <t>Aumento Depreciación</t>
  </si>
  <si>
    <t>Nuevo punto de equilibrio</t>
  </si>
  <si>
    <t>5.</t>
  </si>
  <si>
    <t>Punto de equlibrio inicial</t>
  </si>
  <si>
    <t>Costo licencias y herramientas por proyecto</t>
  </si>
  <si>
    <t>Mano de Obra Directa (programadores y tester)</t>
  </si>
  <si>
    <t>CIF ( Servidores, electricidad, internet)</t>
  </si>
  <si>
    <t>Gastos de Marketing: Publicidad digital (google, Ads, RRSS)</t>
  </si>
  <si>
    <t>Gastos de administración: Sueldos, arriendo, servicios, Depreciación</t>
  </si>
  <si>
    <t>Cemento, acero, cerámicos, pintura</t>
  </si>
  <si>
    <t>Mano de Obra Directa (maestros y ayudantes)</t>
  </si>
  <si>
    <t>CIF ( Electricidad, agua, herramientas, seguridad)</t>
  </si>
  <si>
    <t>Gastos de venta: Publicidad en RRSS, feriasn locales,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</si>
</sst>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64" formatCode="_ * #,##0.00_ ;_ * \-#,##0.00_ ;_ * &quot;-&quot;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41" fontId="0" fillId="0" borderId="0" xfId="1" applyFont="1"/>
    <xf numFmtId="41" fontId="0" fillId="0" borderId="0" xfId="0" applyNumberFormat="1"/>
    <xf numFmtId="0" fontId="0" fillId="0" borderId="1" xfId="0" applyBorder="1"/>
    <xf numFmtId="41" fontId="0" fillId="0" borderId="1" xfId="1" applyFont="1" applyBorder="1"/>
    <xf numFmtId="41" fontId="0" fillId="0" borderId="1" xfId="0" applyNumberFormat="1" applyBorder="1"/>
    <xf numFmtId="0" fontId="2" fillId="0" borderId="1" xfId="0" applyFont="1" applyBorder="1"/>
    <xf numFmtId="164" fontId="0" fillId="0" borderId="1" xfId="1" applyNumberFormat="1" applyFont="1" applyBorder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1" xfId="0" applyNumberFormat="1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/>
    </xf>
    <xf numFmtId="43" fontId="0" fillId="0" borderId="1" xfId="0" applyNumberFormat="1" applyBorder="1"/>
    <xf numFmtId="164" fontId="0" fillId="0" borderId="0" xfId="0" applyNumberFormat="1" applyAlignment="1">
      <alignment horizontal="center"/>
    </xf>
    <xf numFmtId="41" fontId="2" fillId="0" borderId="1" xfId="1" applyFont="1" applyBorder="1"/>
    <xf numFmtId="164" fontId="0" fillId="0" borderId="1" xfId="0" applyNumberFormat="1" applyBorder="1"/>
    <xf numFmtId="41" fontId="2" fillId="0" borderId="1" xfId="0" applyNumberFormat="1" applyFont="1" applyBorder="1"/>
    <xf numFmtId="4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1" fontId="2" fillId="0" borderId="1" xfId="0" applyNumberFormat="1" applyFont="1" applyBorder="1" applyAlignment="1">
      <alignment horizontal="center"/>
    </xf>
    <xf numFmtId="41" fontId="0" fillId="0" borderId="1" xfId="1" applyFont="1" applyFill="1" applyBorder="1"/>
    <xf numFmtId="164" fontId="0" fillId="0" borderId="1" xfId="1" applyNumberFormat="1" applyFont="1" applyFill="1" applyBorder="1"/>
    <xf numFmtId="0" fontId="0" fillId="0" borderId="6" xfId="0" applyBorder="1"/>
    <xf numFmtId="165" fontId="0" fillId="0" borderId="7" xfId="0" applyNumberFormat="1" applyBorder="1"/>
    <xf numFmtId="0" fontId="0" fillId="0" borderId="8" xfId="0" applyBorder="1"/>
    <xf numFmtId="165" fontId="0" fillId="0" borderId="9" xfId="0" applyNumberFormat="1" applyBorder="1"/>
    <xf numFmtId="2" fontId="2" fillId="0" borderId="1" xfId="0" applyNumberFormat="1" applyFont="1" applyBorder="1"/>
    <xf numFmtId="164" fontId="2" fillId="0" borderId="1" xfId="1" applyNumberFormat="1" applyFont="1" applyBorder="1"/>
    <xf numFmtId="164" fontId="2" fillId="0" borderId="1" xfId="0" applyNumberFormat="1" applyFont="1" applyBorder="1" applyAlignment="1">
      <alignment horizontal="center"/>
    </xf>
    <xf numFmtId="2" fontId="0" fillId="0" borderId="0" xfId="0" applyNumberFormat="1"/>
    <xf numFmtId="164" fontId="0" fillId="0" borderId="0" xfId="1" applyNumberFormat="1" applyFont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8191-DB38-408F-B59F-2A46362D2DB0}">
  <dimension ref="B2:Q86"/>
  <sheetViews>
    <sheetView tabSelected="1" topLeftCell="A31" zoomScale="120" zoomScaleNormal="120" workbookViewId="0">
      <selection activeCell="H37" sqref="H37"/>
    </sheetView>
  </sheetViews>
  <sheetFormatPr baseColWidth="10" defaultRowHeight="14.4" x14ac:dyDescent="0.3"/>
  <cols>
    <col min="1" max="1" width="0.88671875" customWidth="1"/>
    <col min="2" max="2" width="20.88671875" customWidth="1"/>
    <col min="3" max="3" width="17" customWidth="1"/>
    <col min="4" max="4" width="14.5546875" customWidth="1"/>
    <col min="8" max="8" width="14" customWidth="1"/>
    <col min="10" max="10" width="13.109375" customWidth="1"/>
    <col min="12" max="12" width="17.109375" bestFit="1" customWidth="1"/>
  </cols>
  <sheetData>
    <row r="2" spans="2:7" x14ac:dyDescent="0.3">
      <c r="B2" s="1" t="s">
        <v>0</v>
      </c>
    </row>
    <row r="3" spans="2:7" ht="14.4" customHeight="1" x14ac:dyDescent="0.3">
      <c r="C3" s="42" t="s">
        <v>1</v>
      </c>
      <c r="D3" s="42"/>
      <c r="E3" s="42"/>
      <c r="F3" s="42"/>
      <c r="G3" s="2"/>
    </row>
    <row r="4" spans="2:7" x14ac:dyDescent="0.3">
      <c r="C4" s="42"/>
      <c r="D4" s="42"/>
      <c r="E4" s="42"/>
      <c r="F4" s="42"/>
      <c r="G4" s="2"/>
    </row>
    <row r="5" spans="2:7" x14ac:dyDescent="0.3">
      <c r="C5" s="2"/>
      <c r="D5" s="2"/>
      <c r="E5" s="2"/>
      <c r="F5" s="2"/>
      <c r="G5" s="2"/>
    </row>
    <row r="6" spans="2:7" x14ac:dyDescent="0.3">
      <c r="B6" s="5"/>
      <c r="C6" s="5" t="s">
        <v>2</v>
      </c>
      <c r="D6" s="5" t="s">
        <v>3</v>
      </c>
      <c r="E6" s="5" t="s">
        <v>4</v>
      </c>
      <c r="F6" s="5" t="s">
        <v>8</v>
      </c>
    </row>
    <row r="7" spans="2:7" x14ac:dyDescent="0.3">
      <c r="B7" s="5" t="s">
        <v>5</v>
      </c>
      <c r="C7" s="6">
        <v>5000</v>
      </c>
      <c r="D7" s="6">
        <v>4500</v>
      </c>
      <c r="E7" s="6">
        <v>6000</v>
      </c>
      <c r="F7" s="7">
        <f>SUM(C7:E7)</f>
        <v>15500</v>
      </c>
    </row>
    <row r="8" spans="2:7" x14ac:dyDescent="0.3">
      <c r="B8" s="5" t="s">
        <v>7</v>
      </c>
      <c r="C8" s="6">
        <v>0</v>
      </c>
      <c r="D8" s="6">
        <v>0</v>
      </c>
      <c r="E8" s="6">
        <v>0</v>
      </c>
      <c r="F8" s="7">
        <f t="shared" ref="F8:F9" si="0">SUM(C8:E8)</f>
        <v>0</v>
      </c>
    </row>
    <row r="9" spans="2:7" x14ac:dyDescent="0.3">
      <c r="B9" s="5" t="s">
        <v>6</v>
      </c>
      <c r="C9" s="6">
        <f>+C7*C8</f>
        <v>0</v>
      </c>
      <c r="D9" s="6">
        <f t="shared" ref="D9:E9" si="1">+D7*D8</f>
        <v>0</v>
      </c>
      <c r="E9" s="6">
        <f t="shared" si="1"/>
        <v>0</v>
      </c>
      <c r="F9" s="7">
        <f t="shared" si="0"/>
        <v>0</v>
      </c>
    </row>
    <row r="10" spans="2:7" x14ac:dyDescent="0.3">
      <c r="C10" s="3"/>
      <c r="D10" s="3"/>
      <c r="E10" s="3"/>
    </row>
    <row r="11" spans="2:7" x14ac:dyDescent="0.3">
      <c r="B11" s="1" t="s">
        <v>9</v>
      </c>
      <c r="C11" s="3"/>
      <c r="D11" s="3"/>
      <c r="E11" s="3"/>
    </row>
    <row r="12" spans="2:7" ht="14.4" customHeight="1" x14ac:dyDescent="0.3">
      <c r="C12" s="42" t="s">
        <v>42</v>
      </c>
      <c r="D12" s="42"/>
      <c r="E12" s="42"/>
      <c r="F12" s="42"/>
    </row>
    <row r="13" spans="2:7" x14ac:dyDescent="0.3">
      <c r="C13" s="42"/>
      <c r="D13" s="42"/>
      <c r="E13" s="42"/>
      <c r="F13" s="42"/>
    </row>
    <row r="14" spans="2:7" x14ac:dyDescent="0.3">
      <c r="C14" s="42"/>
      <c r="D14" s="42"/>
      <c r="E14" s="42"/>
      <c r="F14" s="42"/>
    </row>
    <row r="15" spans="2:7" x14ac:dyDescent="0.3">
      <c r="C15" s="42"/>
      <c r="D15" s="42"/>
      <c r="E15" s="42"/>
      <c r="F15" s="42"/>
    </row>
    <row r="16" spans="2:7" x14ac:dyDescent="0.3">
      <c r="C16" s="3"/>
      <c r="D16" s="3"/>
      <c r="E16" s="3"/>
    </row>
    <row r="17" spans="2:10" x14ac:dyDescent="0.3">
      <c r="B17" s="42" t="s">
        <v>10</v>
      </c>
      <c r="C17" s="42"/>
      <c r="D17" s="6" t="s">
        <v>2</v>
      </c>
      <c r="E17" s="6" t="s">
        <v>3</v>
      </c>
      <c r="F17" s="6" t="s">
        <v>4</v>
      </c>
    </row>
    <row r="18" spans="2:10" x14ac:dyDescent="0.3">
      <c r="B18" s="42" t="s">
        <v>11</v>
      </c>
      <c r="C18" s="42"/>
      <c r="D18" s="6">
        <f>+C7</f>
        <v>5000</v>
      </c>
      <c r="E18" s="6">
        <f>+D7</f>
        <v>4500</v>
      </c>
      <c r="F18" s="6">
        <f>+E7</f>
        <v>6000</v>
      </c>
    </row>
    <row r="19" spans="2:10" x14ac:dyDescent="0.3">
      <c r="B19" s="42" t="s">
        <v>12</v>
      </c>
      <c r="C19" s="42"/>
      <c r="D19" s="6">
        <v>0</v>
      </c>
      <c r="E19" s="6">
        <v>0</v>
      </c>
      <c r="F19" s="6">
        <v>0</v>
      </c>
    </row>
    <row r="20" spans="2:10" x14ac:dyDescent="0.3">
      <c r="B20" s="42" t="s">
        <v>43</v>
      </c>
      <c r="C20" s="42"/>
      <c r="D20" s="6">
        <f>SUM(D18:D19)</f>
        <v>5000</v>
      </c>
      <c r="E20" s="6">
        <f t="shared" ref="E20:F20" si="2">SUM(E18:E19)</f>
        <v>4500</v>
      </c>
      <c r="F20" s="6">
        <f t="shared" si="2"/>
        <v>6000</v>
      </c>
    </row>
    <row r="21" spans="2:10" x14ac:dyDescent="0.3">
      <c r="B21" s="42" t="s">
        <v>13</v>
      </c>
      <c r="C21" s="42"/>
      <c r="D21" s="6">
        <v>0</v>
      </c>
      <c r="E21" s="6">
        <v>0</v>
      </c>
      <c r="F21" s="6">
        <v>0</v>
      </c>
    </row>
    <row r="24" spans="2:10" x14ac:dyDescent="0.3">
      <c r="B24" s="1" t="s">
        <v>27</v>
      </c>
    </row>
    <row r="25" spans="2:10" x14ac:dyDescent="0.3">
      <c r="C25" s="37" t="s">
        <v>14</v>
      </c>
      <c r="D25" s="37"/>
      <c r="E25" s="37"/>
      <c r="F25" s="37"/>
    </row>
    <row r="26" spans="2:10" x14ac:dyDescent="0.3">
      <c r="C26" s="37"/>
      <c r="D26" s="37"/>
      <c r="E26" s="37"/>
      <c r="F26" s="37"/>
    </row>
    <row r="28" spans="2:10" x14ac:dyDescent="0.3">
      <c r="B28" s="8" t="s">
        <v>25</v>
      </c>
      <c r="C28" s="5"/>
      <c r="D28" s="7" t="str">
        <f>+D17</f>
        <v>Enero</v>
      </c>
      <c r="E28" s="7" t="str">
        <f>+E17</f>
        <v>Febrero</v>
      </c>
      <c r="F28" s="7" t="str">
        <f>+F17</f>
        <v>Marzo</v>
      </c>
      <c r="G28" s="15" t="s">
        <v>45</v>
      </c>
      <c r="H28" s="5" t="s">
        <v>50</v>
      </c>
      <c r="I28" s="5" t="s">
        <v>51</v>
      </c>
    </row>
    <row r="29" spans="2:10" x14ac:dyDescent="0.3">
      <c r="B29" s="5" t="s">
        <v>15</v>
      </c>
      <c r="C29" s="5"/>
      <c r="D29" s="6">
        <f>+D20</f>
        <v>5000</v>
      </c>
      <c r="E29" s="6">
        <f>+E20</f>
        <v>4500</v>
      </c>
      <c r="F29" s="6">
        <f>+F20</f>
        <v>6000</v>
      </c>
      <c r="G29" s="21">
        <f>SUM(D29:F29)</f>
        <v>15500</v>
      </c>
      <c r="H29" s="7">
        <f>+G29</f>
        <v>15500</v>
      </c>
      <c r="I29" s="7">
        <f>+H29</f>
        <v>15500</v>
      </c>
    </row>
    <row r="30" spans="2:10" x14ac:dyDescent="0.3">
      <c r="B30" s="5"/>
      <c r="C30" s="5"/>
      <c r="D30" s="6"/>
      <c r="E30" s="6"/>
      <c r="F30" s="6"/>
      <c r="G30" s="15"/>
      <c r="H30" s="5"/>
      <c r="I30" s="5"/>
    </row>
    <row r="31" spans="2:10" x14ac:dyDescent="0.3">
      <c r="B31" s="5" t="s">
        <v>26</v>
      </c>
      <c r="C31" s="5" t="s">
        <v>52</v>
      </c>
      <c r="D31" s="9">
        <v>0.8</v>
      </c>
      <c r="E31" s="9">
        <v>0.8</v>
      </c>
      <c r="F31" s="9">
        <v>0.8</v>
      </c>
      <c r="G31" s="22">
        <f>+F31</f>
        <v>0.8</v>
      </c>
      <c r="H31" s="5">
        <f>+G31*1.1</f>
        <v>0.88000000000000012</v>
      </c>
      <c r="I31" s="19">
        <f>+F31</f>
        <v>0.8</v>
      </c>
    </row>
    <row r="32" spans="2:10" x14ac:dyDescent="0.3">
      <c r="B32" s="5" t="s">
        <v>28</v>
      </c>
      <c r="C32" s="5" t="s">
        <v>53</v>
      </c>
      <c r="D32" s="9">
        <v>0.6</v>
      </c>
      <c r="E32" s="9">
        <v>0.6</v>
      </c>
      <c r="F32" s="9">
        <v>0.6</v>
      </c>
      <c r="G32" s="22">
        <f t="shared" ref="G32:G33" si="3">+F32</f>
        <v>0.6</v>
      </c>
      <c r="H32" s="19">
        <f>+G32</f>
        <v>0.6</v>
      </c>
      <c r="I32" s="25">
        <v>0.45</v>
      </c>
      <c r="J32" s="10"/>
    </row>
    <row r="33" spans="2:10" x14ac:dyDescent="0.3">
      <c r="B33" s="5" t="s">
        <v>29</v>
      </c>
      <c r="C33" s="5"/>
      <c r="D33" s="9">
        <v>0.4</v>
      </c>
      <c r="E33" s="9">
        <v>0.4</v>
      </c>
      <c r="F33" s="9">
        <v>0.4</v>
      </c>
      <c r="G33" s="22">
        <f t="shared" si="3"/>
        <v>0.4</v>
      </c>
      <c r="H33" s="19">
        <f>+G33</f>
        <v>0.4</v>
      </c>
      <c r="I33" s="25">
        <v>0.4</v>
      </c>
      <c r="J33" s="10"/>
    </row>
    <row r="34" spans="2:10" x14ac:dyDescent="0.3">
      <c r="B34" s="5"/>
      <c r="C34" s="5"/>
      <c r="D34" s="9">
        <f>SUM(D31:D33)</f>
        <v>1.7999999999999998</v>
      </c>
      <c r="E34" s="9">
        <f t="shared" ref="E34:F34" si="4">SUM(E31:E33)</f>
        <v>1.7999999999999998</v>
      </c>
      <c r="F34" s="9">
        <f t="shared" si="4"/>
        <v>1.7999999999999998</v>
      </c>
      <c r="G34" s="22">
        <f>SUM(G31:G33)</f>
        <v>1.7999999999999998</v>
      </c>
      <c r="H34" s="25">
        <f>SUM(H31:H33)</f>
        <v>1.88</v>
      </c>
      <c r="I34" s="19">
        <f>SUM(I31:I33)</f>
        <v>1.65</v>
      </c>
      <c r="J34" s="10"/>
    </row>
    <row r="35" spans="2:10" x14ac:dyDescent="0.3">
      <c r="B35" s="5" t="s">
        <v>44</v>
      </c>
      <c r="C35" s="5"/>
      <c r="D35" s="18">
        <f>+D29*D34</f>
        <v>9000</v>
      </c>
      <c r="E35" s="18">
        <f>+E29*E34</f>
        <v>8099.9999999999991</v>
      </c>
      <c r="F35" s="18">
        <f>+F29*F34</f>
        <v>10799.999999999998</v>
      </c>
      <c r="G35" s="23">
        <f>+G29*G34</f>
        <v>27899.999999999996</v>
      </c>
      <c r="H35" s="7">
        <f>+H29*H34</f>
        <v>29140</v>
      </c>
      <c r="I35" s="12">
        <f>+I29*I34</f>
        <v>25575</v>
      </c>
    </row>
    <row r="37" spans="2:10" x14ac:dyDescent="0.3">
      <c r="B37" s="1" t="s">
        <v>30</v>
      </c>
    </row>
    <row r="38" spans="2:10" x14ac:dyDescent="0.3">
      <c r="C38" s="37" t="s">
        <v>16</v>
      </c>
      <c r="D38" s="37"/>
      <c r="E38" s="37"/>
      <c r="F38" s="37"/>
    </row>
    <row r="39" spans="2:10" x14ac:dyDescent="0.3">
      <c r="C39" s="37"/>
      <c r="D39" s="37"/>
      <c r="E39" s="37"/>
      <c r="F39" s="37"/>
    </row>
    <row r="41" spans="2:10" x14ac:dyDescent="0.3">
      <c r="B41" s="35" t="s">
        <v>10</v>
      </c>
      <c r="C41" s="36"/>
      <c r="D41" s="6" t="s">
        <v>2</v>
      </c>
      <c r="E41" s="6" t="s">
        <v>3</v>
      </c>
      <c r="F41" s="6" t="s">
        <v>4</v>
      </c>
      <c r="G41" s="24" t="s">
        <v>47</v>
      </c>
      <c r="H41" s="24" t="s">
        <v>54</v>
      </c>
    </row>
    <row r="42" spans="2:10" x14ac:dyDescent="0.3">
      <c r="B42" s="35" t="s">
        <v>31</v>
      </c>
      <c r="C42" s="36"/>
      <c r="D42" s="6">
        <v>500</v>
      </c>
      <c r="E42" s="6">
        <v>500</v>
      </c>
      <c r="F42" s="6">
        <v>500</v>
      </c>
      <c r="G42" s="7">
        <f>SUM(D42:F42)</f>
        <v>1500</v>
      </c>
      <c r="H42" s="7">
        <f>+G42</f>
        <v>1500</v>
      </c>
    </row>
    <row r="43" spans="2:10" x14ac:dyDescent="0.3">
      <c r="B43" s="13" t="s">
        <v>46</v>
      </c>
      <c r="C43" s="14"/>
      <c r="D43" s="6">
        <v>0</v>
      </c>
      <c r="E43" s="6">
        <v>0</v>
      </c>
      <c r="F43" s="6">
        <v>0</v>
      </c>
      <c r="G43" s="7">
        <f t="shared" ref="G43:G45" si="5">SUM(D43:F43)</f>
        <v>0</v>
      </c>
      <c r="H43" s="5"/>
    </row>
    <row r="44" spans="2:10" x14ac:dyDescent="0.3">
      <c r="B44" s="35" t="s">
        <v>32</v>
      </c>
      <c r="C44" s="36"/>
      <c r="D44" s="6">
        <v>2800</v>
      </c>
      <c r="E44" s="6">
        <v>2800</v>
      </c>
      <c r="F44" s="6">
        <v>2800</v>
      </c>
      <c r="G44" s="7">
        <f t="shared" si="5"/>
        <v>8400</v>
      </c>
      <c r="H44" s="5">
        <f>+G44+((-100+180)*3)</f>
        <v>8640</v>
      </c>
    </row>
    <row r="45" spans="2:10" x14ac:dyDescent="0.3">
      <c r="B45" s="35" t="s">
        <v>33</v>
      </c>
      <c r="C45" s="36"/>
      <c r="D45" s="18">
        <f>SUM(D42:D44)</f>
        <v>3300</v>
      </c>
      <c r="E45" s="18">
        <f t="shared" ref="E45:F45" si="6">SUM(E42:E44)</f>
        <v>3300</v>
      </c>
      <c r="F45" s="18">
        <f t="shared" si="6"/>
        <v>3300</v>
      </c>
      <c r="G45" s="20">
        <f t="shared" si="5"/>
        <v>9900</v>
      </c>
      <c r="H45" s="7">
        <f>SUM(H42:H44)</f>
        <v>10140</v>
      </c>
    </row>
    <row r="47" spans="2:10" x14ac:dyDescent="0.3">
      <c r="B47" s="1" t="s">
        <v>17</v>
      </c>
    </row>
    <row r="48" spans="2:10" x14ac:dyDescent="0.3">
      <c r="C48" s="37" t="s">
        <v>18</v>
      </c>
      <c r="D48" s="37"/>
      <c r="E48" s="37"/>
      <c r="F48" s="37"/>
    </row>
    <row r="49" spans="2:17" x14ac:dyDescent="0.3">
      <c r="C49" s="37"/>
      <c r="D49" s="37"/>
      <c r="E49" s="37"/>
      <c r="F49" s="37"/>
    </row>
    <row r="51" spans="2:17" x14ac:dyDescent="0.3">
      <c r="B51" s="11" t="s">
        <v>34</v>
      </c>
      <c r="C51" s="8" t="s">
        <v>10</v>
      </c>
      <c r="D51" s="8" t="s">
        <v>19</v>
      </c>
      <c r="H51" s="5" t="s">
        <v>38</v>
      </c>
      <c r="I51" s="12">
        <f>(-D55/(+G56-G34))</f>
        <v>14142.857142857139</v>
      </c>
      <c r="K51" s="11" t="s">
        <v>34</v>
      </c>
      <c r="L51" s="8" t="s">
        <v>10</v>
      </c>
      <c r="M51" s="8" t="s">
        <v>5</v>
      </c>
      <c r="N51" t="s">
        <v>40</v>
      </c>
      <c r="O51" s="15" t="s">
        <v>41</v>
      </c>
    </row>
    <row r="52" spans="2:17" x14ac:dyDescent="0.3">
      <c r="C52" s="5" t="s">
        <v>20</v>
      </c>
      <c r="D52" s="7">
        <f>+G56*15500</f>
        <v>38750</v>
      </c>
      <c r="H52" s="5" t="s">
        <v>39</v>
      </c>
      <c r="I52" s="12">
        <f>(-D55/((1-(G34/G56))))</f>
        <v>35357.142857142855</v>
      </c>
      <c r="L52" s="5" t="s">
        <v>20</v>
      </c>
      <c r="M52" s="7">
        <v>15500</v>
      </c>
      <c r="N52" s="17">
        <f>-Q56/M52</f>
        <v>2.5</v>
      </c>
      <c r="O52" s="12">
        <f>+M52*N52</f>
        <v>38750</v>
      </c>
    </row>
    <row r="53" spans="2:17" x14ac:dyDescent="0.3">
      <c r="C53" s="5" t="s">
        <v>21</v>
      </c>
      <c r="D53" s="7">
        <f>-G35</f>
        <v>-27899.999999999996</v>
      </c>
      <c r="L53" s="5" t="s">
        <v>21</v>
      </c>
      <c r="M53" s="7">
        <v>15500</v>
      </c>
      <c r="N53" s="10">
        <f>-G34</f>
        <v>-1.7999999999999998</v>
      </c>
      <c r="O53" s="12">
        <f>+M53*N53</f>
        <v>-27899.999999999996</v>
      </c>
    </row>
    <row r="54" spans="2:17" x14ac:dyDescent="0.3">
      <c r="C54" s="5" t="s">
        <v>22</v>
      </c>
      <c r="D54" s="7">
        <f>+D52+D53</f>
        <v>10850.000000000004</v>
      </c>
      <c r="L54" s="5" t="s">
        <v>22</v>
      </c>
      <c r="M54" s="7"/>
      <c r="O54" s="12">
        <f>+O52+O53</f>
        <v>10850.000000000004</v>
      </c>
    </row>
    <row r="55" spans="2:17" x14ac:dyDescent="0.3">
      <c r="C55" s="5" t="s">
        <v>23</v>
      </c>
      <c r="D55" s="7">
        <f>-G45</f>
        <v>-9900</v>
      </c>
      <c r="L55" s="5" t="s">
        <v>23</v>
      </c>
      <c r="M55" s="7">
        <f>-P45</f>
        <v>0</v>
      </c>
      <c r="O55" s="12">
        <f>-G45</f>
        <v>-9900</v>
      </c>
    </row>
    <row r="56" spans="2:17" x14ac:dyDescent="0.3">
      <c r="C56" s="5" t="s">
        <v>24</v>
      </c>
      <c r="D56" s="7">
        <f>+D54+D55</f>
        <v>950.00000000000364</v>
      </c>
      <c r="F56">
        <f>37800+950</f>
        <v>38750</v>
      </c>
      <c r="G56" s="8">
        <f>+F56/15500</f>
        <v>2.5</v>
      </c>
      <c r="H56" s="8" t="s">
        <v>48</v>
      </c>
      <c r="I56" s="8"/>
      <c r="J56" s="8"/>
      <c r="L56" s="5" t="s">
        <v>24</v>
      </c>
      <c r="M56" s="7">
        <f>+M54+M55</f>
        <v>0</v>
      </c>
      <c r="O56" s="12">
        <f>+O54+O55</f>
        <v>950.00000000000364</v>
      </c>
      <c r="Q56" s="4">
        <f>-37800-950</f>
        <v>-38750</v>
      </c>
    </row>
    <row r="59" spans="2:17" x14ac:dyDescent="0.3">
      <c r="B59" s="11" t="s">
        <v>35</v>
      </c>
      <c r="C59" s="8" t="s">
        <v>10</v>
      </c>
      <c r="D59" s="8" t="s">
        <v>19</v>
      </c>
      <c r="K59" s="11" t="s">
        <v>35</v>
      </c>
      <c r="L59" s="8" t="s">
        <v>10</v>
      </c>
      <c r="M59" s="8" t="s">
        <v>5</v>
      </c>
      <c r="N59" t="s">
        <v>40</v>
      </c>
      <c r="O59" s="15" t="s">
        <v>41</v>
      </c>
    </row>
    <row r="60" spans="2:17" x14ac:dyDescent="0.3">
      <c r="C60" s="5" t="s">
        <v>20</v>
      </c>
      <c r="D60" s="7">
        <f>+F7*G64</f>
        <v>34875</v>
      </c>
      <c r="L60" s="5" t="s">
        <v>20</v>
      </c>
      <c r="M60" s="7">
        <v>15500</v>
      </c>
      <c r="N60" s="17">
        <f>+N52*(1-0.1)</f>
        <v>2.25</v>
      </c>
      <c r="O60" s="12">
        <f>+M60*N60</f>
        <v>34875</v>
      </c>
    </row>
    <row r="61" spans="2:17" x14ac:dyDescent="0.3">
      <c r="C61" s="5" t="s">
        <v>21</v>
      </c>
      <c r="D61" s="7">
        <f>+D53</f>
        <v>-27899.999999999996</v>
      </c>
      <c r="L61" s="5" t="s">
        <v>21</v>
      </c>
      <c r="M61" s="7">
        <v>15500</v>
      </c>
      <c r="N61" s="10">
        <f>+N53</f>
        <v>-1.7999999999999998</v>
      </c>
      <c r="O61" s="12">
        <f>+M61*N61</f>
        <v>-27899.999999999996</v>
      </c>
    </row>
    <row r="62" spans="2:17" x14ac:dyDescent="0.3">
      <c r="C62" s="5" t="s">
        <v>22</v>
      </c>
      <c r="D62" s="7">
        <f>+D60+D61</f>
        <v>6975.0000000000036</v>
      </c>
      <c r="L62" s="5" t="s">
        <v>22</v>
      </c>
      <c r="M62" s="7">
        <f>+M60+M61</f>
        <v>31000</v>
      </c>
      <c r="O62" s="12">
        <f>+O60+O61</f>
        <v>6975.0000000000036</v>
      </c>
    </row>
    <row r="63" spans="2:17" x14ac:dyDescent="0.3">
      <c r="C63" s="5" t="s">
        <v>23</v>
      </c>
      <c r="D63" s="7">
        <f>+D55</f>
        <v>-9900</v>
      </c>
      <c r="L63" s="5" t="s">
        <v>23</v>
      </c>
      <c r="M63" s="7">
        <f>-P53</f>
        <v>0</v>
      </c>
      <c r="O63" s="12">
        <f>-G45</f>
        <v>-9900</v>
      </c>
    </row>
    <row r="64" spans="2:17" x14ac:dyDescent="0.3">
      <c r="C64" s="5" t="s">
        <v>24</v>
      </c>
      <c r="D64" s="7">
        <f>+D62+D63</f>
        <v>-2924.9999999999964</v>
      </c>
      <c r="G64" s="8">
        <f>+G56*0.9</f>
        <v>2.25</v>
      </c>
      <c r="H64" s="8" t="s">
        <v>49</v>
      </c>
      <c r="I64" s="8"/>
      <c r="J64" s="8"/>
      <c r="L64" s="5" t="s">
        <v>24</v>
      </c>
      <c r="M64" s="7">
        <f>+M62+M63</f>
        <v>31000</v>
      </c>
      <c r="O64" s="12">
        <f>+O62+O63</f>
        <v>-2924.9999999999964</v>
      </c>
    </row>
    <row r="66" spans="2:15" x14ac:dyDescent="0.3">
      <c r="B66" s="11" t="s">
        <v>36</v>
      </c>
      <c r="C66" s="8" t="s">
        <v>10</v>
      </c>
      <c r="D66" s="8" t="s">
        <v>19</v>
      </c>
      <c r="K66" s="11" t="s">
        <v>36</v>
      </c>
      <c r="L66" s="8" t="s">
        <v>10</v>
      </c>
      <c r="M66" s="8" t="s">
        <v>5</v>
      </c>
      <c r="N66" t="s">
        <v>40</v>
      </c>
      <c r="O66" s="15" t="s">
        <v>41</v>
      </c>
    </row>
    <row r="67" spans="2:15" x14ac:dyDescent="0.3">
      <c r="C67" s="5" t="s">
        <v>20</v>
      </c>
      <c r="D67" s="7">
        <f>+F7*G67</f>
        <v>38750</v>
      </c>
      <c r="G67">
        <v>2.5</v>
      </c>
      <c r="L67" s="5" t="s">
        <v>20</v>
      </c>
      <c r="M67" s="7">
        <v>15500</v>
      </c>
      <c r="N67" s="17">
        <f>+N52</f>
        <v>2.5</v>
      </c>
      <c r="O67" s="16">
        <f>+M67*N67</f>
        <v>38750</v>
      </c>
    </row>
    <row r="68" spans="2:15" x14ac:dyDescent="0.3">
      <c r="C68" s="5" t="s">
        <v>21</v>
      </c>
      <c r="D68" s="7">
        <f>-H35</f>
        <v>-29140</v>
      </c>
      <c r="L68" s="5" t="s">
        <v>21</v>
      </c>
      <c r="M68" s="7">
        <v>15500</v>
      </c>
      <c r="N68" s="10">
        <f>-H34</f>
        <v>-1.88</v>
      </c>
      <c r="O68" s="16">
        <f>+M68*N68</f>
        <v>-29140</v>
      </c>
    </row>
    <row r="69" spans="2:15" x14ac:dyDescent="0.3">
      <c r="C69" s="5" t="s">
        <v>22</v>
      </c>
      <c r="D69" s="7">
        <f>+D67+D68</f>
        <v>9610</v>
      </c>
      <c r="L69" s="5" t="s">
        <v>22</v>
      </c>
      <c r="M69" s="7">
        <f>+M67+M68</f>
        <v>31000</v>
      </c>
      <c r="O69" s="7">
        <f>+O67+O68</f>
        <v>9610</v>
      </c>
    </row>
    <row r="70" spans="2:15" x14ac:dyDescent="0.3">
      <c r="C70" s="5" t="s">
        <v>23</v>
      </c>
      <c r="D70" s="7">
        <f>+D63</f>
        <v>-9900</v>
      </c>
      <c r="L70" s="5" t="s">
        <v>23</v>
      </c>
      <c r="M70" s="7">
        <f>-P60</f>
        <v>0</v>
      </c>
      <c r="O70" s="7">
        <f>-G45</f>
        <v>-9900</v>
      </c>
    </row>
    <row r="71" spans="2:15" x14ac:dyDescent="0.3">
      <c r="C71" s="5" t="s">
        <v>24</v>
      </c>
      <c r="D71" s="7">
        <f>+D69+D70</f>
        <v>-290</v>
      </c>
      <c r="L71" s="5" t="s">
        <v>24</v>
      </c>
      <c r="M71" s="7">
        <f>+M69+M70</f>
        <v>31000</v>
      </c>
      <c r="O71" s="7">
        <f>+O69+O70</f>
        <v>-290</v>
      </c>
    </row>
    <row r="73" spans="2:15" x14ac:dyDescent="0.3">
      <c r="B73" s="11" t="s">
        <v>37</v>
      </c>
      <c r="C73" s="8" t="s">
        <v>10</v>
      </c>
      <c r="D73" s="8" t="s">
        <v>19</v>
      </c>
      <c r="G73">
        <v>2.5</v>
      </c>
      <c r="K73" s="11">
        <v>4</v>
      </c>
      <c r="L73" s="8" t="s">
        <v>10</v>
      </c>
      <c r="M73" s="8" t="s">
        <v>5</v>
      </c>
      <c r="N73" t="s">
        <v>40</v>
      </c>
      <c r="O73" s="15" t="s">
        <v>41</v>
      </c>
    </row>
    <row r="74" spans="2:15" x14ac:dyDescent="0.3">
      <c r="C74" s="5" t="s">
        <v>20</v>
      </c>
      <c r="D74" s="7">
        <f>+D52</f>
        <v>38750</v>
      </c>
      <c r="L74" s="5" t="s">
        <v>20</v>
      </c>
      <c r="M74" s="7">
        <v>15500</v>
      </c>
      <c r="N74" s="17">
        <f>+G56</f>
        <v>2.5</v>
      </c>
      <c r="O74" s="16">
        <f>+M74*N74</f>
        <v>38750</v>
      </c>
    </row>
    <row r="75" spans="2:15" x14ac:dyDescent="0.3">
      <c r="C75" s="5" t="s">
        <v>21</v>
      </c>
      <c r="D75" s="7">
        <f>-I35</f>
        <v>-25575</v>
      </c>
      <c r="L75" s="5" t="s">
        <v>21</v>
      </c>
      <c r="M75" s="7">
        <v>15500</v>
      </c>
      <c r="N75" s="10">
        <f>-I34</f>
        <v>-1.65</v>
      </c>
      <c r="O75" s="16">
        <f>+M75*N75</f>
        <v>-25575</v>
      </c>
    </row>
    <row r="76" spans="2:15" x14ac:dyDescent="0.3">
      <c r="C76" s="5" t="s">
        <v>22</v>
      </c>
      <c r="D76" s="7">
        <f>+D74+D75</f>
        <v>13175</v>
      </c>
      <c r="L76" s="5" t="s">
        <v>22</v>
      </c>
      <c r="M76" s="7">
        <f>+M74+M75</f>
        <v>31000</v>
      </c>
      <c r="O76" s="7">
        <f>+O74+O75</f>
        <v>13175</v>
      </c>
    </row>
    <row r="77" spans="2:15" x14ac:dyDescent="0.3">
      <c r="C77" s="5" t="s">
        <v>23</v>
      </c>
      <c r="D77" s="7">
        <f>-H45</f>
        <v>-10140</v>
      </c>
      <c r="L77" s="5" t="s">
        <v>23</v>
      </c>
      <c r="M77" s="7">
        <f>-P67</f>
        <v>0</v>
      </c>
      <c r="O77" s="7">
        <f>-H45</f>
        <v>-10140</v>
      </c>
    </row>
    <row r="78" spans="2:15" x14ac:dyDescent="0.3">
      <c r="C78" s="5" t="s">
        <v>24</v>
      </c>
      <c r="D78" s="7">
        <f>+D76+D77</f>
        <v>3035</v>
      </c>
      <c r="L78" s="5" t="s">
        <v>24</v>
      </c>
      <c r="M78" s="7">
        <f>+M76+M77</f>
        <v>31000</v>
      </c>
      <c r="O78" s="7">
        <f>+O76+O77</f>
        <v>3035</v>
      </c>
    </row>
    <row r="79" spans="2:15" ht="15" thickBot="1" x14ac:dyDescent="0.35"/>
    <row r="80" spans="2:15" x14ac:dyDescent="0.3">
      <c r="B80" s="11" t="s">
        <v>56</v>
      </c>
      <c r="C80" s="38" t="s">
        <v>57</v>
      </c>
      <c r="D80" s="39"/>
    </row>
    <row r="81" spans="3:4" x14ac:dyDescent="0.3">
      <c r="C81" s="26" t="s">
        <v>38</v>
      </c>
      <c r="D81" s="27">
        <f>(-D55/(G56-G34))</f>
        <v>14142.857142857139</v>
      </c>
    </row>
    <row r="82" spans="3:4" ht="15" thickBot="1" x14ac:dyDescent="0.35">
      <c r="C82" s="28" t="s">
        <v>39</v>
      </c>
      <c r="D82" s="29">
        <f>(-D55/(1-(G34/G56)))</f>
        <v>35357.142857142855</v>
      </c>
    </row>
    <row r="83" spans="3:4" ht="15" thickBot="1" x14ac:dyDescent="0.35"/>
    <row r="84" spans="3:4" x14ac:dyDescent="0.3">
      <c r="C84" s="40" t="s">
        <v>55</v>
      </c>
      <c r="D84" s="41"/>
    </row>
    <row r="85" spans="3:4" x14ac:dyDescent="0.3">
      <c r="C85" s="26" t="s">
        <v>38</v>
      </c>
      <c r="D85" s="27">
        <f>(-D77/(G73-I34))</f>
        <v>11929.411764705881</v>
      </c>
    </row>
    <row r="86" spans="3:4" ht="15" thickBot="1" x14ac:dyDescent="0.35">
      <c r="C86" s="28" t="s">
        <v>39</v>
      </c>
      <c r="D86" s="29">
        <f>(-D77/(1-(I34/G73)))</f>
        <v>29823.529411764699</v>
      </c>
    </row>
  </sheetData>
  <mergeCells count="16">
    <mergeCell ref="C84:D84"/>
    <mergeCell ref="C80:D80"/>
    <mergeCell ref="C48:F49"/>
    <mergeCell ref="B42:C42"/>
    <mergeCell ref="B44:C44"/>
    <mergeCell ref="B45:C45"/>
    <mergeCell ref="C38:F39"/>
    <mergeCell ref="B41:C41"/>
    <mergeCell ref="B21:C21"/>
    <mergeCell ref="C25:F26"/>
    <mergeCell ref="C3:F4"/>
    <mergeCell ref="C12:F15"/>
    <mergeCell ref="B17:C17"/>
    <mergeCell ref="B18:C18"/>
    <mergeCell ref="B19:C19"/>
    <mergeCell ref="B20:C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EDA4-3ACE-43C2-A6ED-1A40BABB3E29}">
  <dimension ref="B2:Q86"/>
  <sheetViews>
    <sheetView workbookViewId="0">
      <selection sqref="A1:XFD1048576"/>
    </sheetView>
  </sheetViews>
  <sheetFormatPr baseColWidth="10" defaultRowHeight="14.4" x14ac:dyDescent="0.3"/>
  <cols>
    <col min="1" max="1" width="0.88671875" customWidth="1"/>
    <col min="2" max="2" width="38" customWidth="1"/>
    <col min="3" max="3" width="19.77734375" customWidth="1"/>
    <col min="4" max="4" width="14.5546875" customWidth="1"/>
    <col min="8" max="8" width="14" customWidth="1"/>
    <col min="10" max="10" width="13.109375" customWidth="1"/>
    <col min="12" max="12" width="17.109375" bestFit="1" customWidth="1"/>
    <col min="15" max="15" width="14.44140625" customWidth="1"/>
  </cols>
  <sheetData>
    <row r="2" spans="2:7" x14ac:dyDescent="0.3">
      <c r="B2" s="1" t="s">
        <v>0</v>
      </c>
    </row>
    <row r="3" spans="2:7" ht="14.4" customHeight="1" x14ac:dyDescent="0.3">
      <c r="C3" s="42" t="s">
        <v>1</v>
      </c>
      <c r="D3" s="42"/>
      <c r="E3" s="42"/>
      <c r="F3" s="42"/>
      <c r="G3" s="2"/>
    </row>
    <row r="4" spans="2:7" x14ac:dyDescent="0.3">
      <c r="C4" s="42"/>
      <c r="D4" s="42"/>
      <c r="E4" s="42"/>
      <c r="F4" s="42"/>
      <c r="G4" s="2"/>
    </row>
    <row r="5" spans="2:7" x14ac:dyDescent="0.3">
      <c r="C5" s="2"/>
      <c r="D5" s="2"/>
      <c r="E5" s="2"/>
      <c r="F5" s="2"/>
      <c r="G5" s="2"/>
    </row>
    <row r="6" spans="2:7" x14ac:dyDescent="0.3">
      <c r="B6" s="5"/>
      <c r="C6" s="5" t="s">
        <v>2</v>
      </c>
      <c r="D6" s="5" t="s">
        <v>3</v>
      </c>
      <c r="E6" s="5" t="s">
        <v>4</v>
      </c>
      <c r="F6" s="5" t="s">
        <v>45</v>
      </c>
    </row>
    <row r="7" spans="2:7" x14ac:dyDescent="0.3">
      <c r="B7" s="5" t="s">
        <v>5</v>
      </c>
      <c r="C7" s="6">
        <v>5</v>
      </c>
      <c r="D7" s="6">
        <v>4</v>
      </c>
      <c r="E7" s="6">
        <v>6</v>
      </c>
      <c r="F7" s="7">
        <f>SUM(C7:E7)</f>
        <v>15</v>
      </c>
    </row>
    <row r="8" spans="2:7" x14ac:dyDescent="0.3">
      <c r="B8" s="5" t="s">
        <v>7</v>
      </c>
      <c r="C8" s="6">
        <v>0</v>
      </c>
      <c r="D8" s="6">
        <v>0</v>
      </c>
      <c r="E8" s="6">
        <v>0</v>
      </c>
      <c r="F8" s="7">
        <f t="shared" ref="F8:F9" si="0">SUM(C8:E8)</f>
        <v>0</v>
      </c>
    </row>
    <row r="9" spans="2:7" x14ac:dyDescent="0.3">
      <c r="B9" s="5" t="s">
        <v>6</v>
      </c>
      <c r="C9" s="6">
        <f>+C7*C8</f>
        <v>0</v>
      </c>
      <c r="D9" s="6">
        <f t="shared" ref="D9:E9" si="1">+D7*D8</f>
        <v>0</v>
      </c>
      <c r="E9" s="6">
        <f t="shared" si="1"/>
        <v>0</v>
      </c>
      <c r="F9" s="7">
        <f t="shared" si="0"/>
        <v>0</v>
      </c>
    </row>
    <row r="10" spans="2:7" x14ac:dyDescent="0.3">
      <c r="C10" s="3"/>
      <c r="D10" s="3"/>
      <c r="E10" s="3"/>
    </row>
    <row r="11" spans="2:7" x14ac:dyDescent="0.3">
      <c r="B11" s="1" t="s">
        <v>9</v>
      </c>
      <c r="C11" s="3"/>
      <c r="D11" s="3"/>
      <c r="E11" s="3"/>
    </row>
    <row r="12" spans="2:7" ht="14.4" customHeight="1" x14ac:dyDescent="0.3">
      <c r="C12" s="42" t="s">
        <v>42</v>
      </c>
      <c r="D12" s="42"/>
      <c r="E12" s="42"/>
      <c r="F12" s="42"/>
    </row>
    <row r="13" spans="2:7" x14ac:dyDescent="0.3">
      <c r="C13" s="42"/>
      <c r="D13" s="42"/>
      <c r="E13" s="42"/>
      <c r="F13" s="42"/>
    </row>
    <row r="14" spans="2:7" x14ac:dyDescent="0.3">
      <c r="C14" s="42"/>
      <c r="D14" s="42"/>
      <c r="E14" s="42"/>
      <c r="F14" s="42"/>
    </row>
    <row r="15" spans="2:7" x14ac:dyDescent="0.3">
      <c r="C15" s="42"/>
      <c r="D15" s="42"/>
      <c r="E15" s="42"/>
      <c r="F15" s="42"/>
    </row>
    <row r="16" spans="2:7" x14ac:dyDescent="0.3">
      <c r="C16" s="3"/>
      <c r="D16" s="3"/>
      <c r="E16" s="3"/>
    </row>
    <row r="17" spans="2:10" x14ac:dyDescent="0.3">
      <c r="B17" s="42" t="s">
        <v>10</v>
      </c>
      <c r="C17" s="42"/>
      <c r="D17" s="6" t="s">
        <v>2</v>
      </c>
      <c r="E17" s="6" t="s">
        <v>3</v>
      </c>
      <c r="F17" s="6" t="s">
        <v>4</v>
      </c>
      <c r="G17" s="24" t="s">
        <v>45</v>
      </c>
    </row>
    <row r="18" spans="2:10" x14ac:dyDescent="0.3">
      <c r="B18" s="42" t="s">
        <v>11</v>
      </c>
      <c r="C18" s="42"/>
      <c r="D18" s="6">
        <f>+C7</f>
        <v>5</v>
      </c>
      <c r="E18" s="6">
        <f>+D7</f>
        <v>4</v>
      </c>
      <c r="F18" s="6">
        <f>+E7</f>
        <v>6</v>
      </c>
      <c r="G18" s="7">
        <f>SUM(D18:F18)</f>
        <v>15</v>
      </c>
    </row>
    <row r="19" spans="2:10" x14ac:dyDescent="0.3">
      <c r="B19" s="42" t="s">
        <v>12</v>
      </c>
      <c r="C19" s="42"/>
      <c r="D19" s="6">
        <v>0</v>
      </c>
      <c r="E19" s="6">
        <v>0</v>
      </c>
      <c r="F19" s="6">
        <v>0</v>
      </c>
      <c r="G19" s="7">
        <f t="shared" ref="G19:G21" si="2">SUM(D19:F19)</f>
        <v>0</v>
      </c>
    </row>
    <row r="20" spans="2:10" x14ac:dyDescent="0.3">
      <c r="B20" s="42" t="s">
        <v>43</v>
      </c>
      <c r="C20" s="42"/>
      <c r="D20" s="6">
        <f>SUM(D18:D19)</f>
        <v>5</v>
      </c>
      <c r="E20" s="6">
        <f t="shared" ref="E20:F20" si="3">SUM(E18:E19)</f>
        <v>4</v>
      </c>
      <c r="F20" s="6">
        <f t="shared" si="3"/>
        <v>6</v>
      </c>
      <c r="G20" s="7">
        <f t="shared" si="2"/>
        <v>15</v>
      </c>
    </row>
    <row r="21" spans="2:10" x14ac:dyDescent="0.3">
      <c r="B21" s="42" t="s">
        <v>13</v>
      </c>
      <c r="C21" s="42"/>
      <c r="D21" s="6">
        <v>0</v>
      </c>
      <c r="E21" s="6">
        <v>0</v>
      </c>
      <c r="F21" s="6">
        <v>0</v>
      </c>
      <c r="G21" s="7">
        <f t="shared" si="2"/>
        <v>0</v>
      </c>
    </row>
    <row r="24" spans="2:10" x14ac:dyDescent="0.3">
      <c r="B24" s="1" t="s">
        <v>27</v>
      </c>
    </row>
    <row r="25" spans="2:10" x14ac:dyDescent="0.3">
      <c r="C25" s="37" t="s">
        <v>14</v>
      </c>
      <c r="D25" s="37"/>
      <c r="E25" s="37"/>
      <c r="F25" s="37"/>
    </row>
    <row r="26" spans="2:10" x14ac:dyDescent="0.3">
      <c r="C26" s="37"/>
      <c r="D26" s="37"/>
      <c r="E26" s="37"/>
      <c r="F26" s="37"/>
    </row>
    <row r="28" spans="2:10" x14ac:dyDescent="0.3">
      <c r="B28" s="8" t="s">
        <v>25</v>
      </c>
      <c r="C28" s="5"/>
      <c r="D28" s="7" t="str">
        <f>+D17</f>
        <v>Enero</v>
      </c>
      <c r="E28" s="7" t="str">
        <f>+E17</f>
        <v>Febrero</v>
      </c>
      <c r="F28" s="7" t="str">
        <f>+F17</f>
        <v>Marzo</v>
      </c>
      <c r="G28" s="15" t="s">
        <v>45</v>
      </c>
      <c r="H28" s="5" t="s">
        <v>50</v>
      </c>
      <c r="I28" s="5" t="s">
        <v>51</v>
      </c>
    </row>
    <row r="29" spans="2:10" x14ac:dyDescent="0.3">
      <c r="B29" s="5" t="s">
        <v>15</v>
      </c>
      <c r="C29" s="5"/>
      <c r="D29" s="6">
        <f>+D20</f>
        <v>5</v>
      </c>
      <c r="E29" s="6">
        <f>+E20</f>
        <v>4</v>
      </c>
      <c r="F29" s="6">
        <f>+F20</f>
        <v>6</v>
      </c>
      <c r="G29" s="21">
        <f>SUM(D29:F29)</f>
        <v>15</v>
      </c>
      <c r="H29" s="7">
        <f>+G29</f>
        <v>15</v>
      </c>
      <c r="I29" s="7">
        <f>+H29</f>
        <v>15</v>
      </c>
    </row>
    <row r="30" spans="2:10" x14ac:dyDescent="0.3">
      <c r="B30" s="5"/>
      <c r="C30" s="5"/>
      <c r="D30" s="6"/>
      <c r="E30" s="6"/>
      <c r="F30" s="6"/>
      <c r="G30" s="15"/>
      <c r="H30" s="5"/>
      <c r="I30" s="5"/>
    </row>
    <row r="31" spans="2:10" x14ac:dyDescent="0.3">
      <c r="B31" s="5" t="s">
        <v>58</v>
      </c>
      <c r="C31" s="5" t="s">
        <v>52</v>
      </c>
      <c r="D31" s="9">
        <v>800</v>
      </c>
      <c r="E31" s="9">
        <v>800</v>
      </c>
      <c r="F31" s="9">
        <v>800</v>
      </c>
      <c r="G31" s="22">
        <f>+F31</f>
        <v>800</v>
      </c>
      <c r="H31" s="9">
        <f>+G31*1.1</f>
        <v>880.00000000000011</v>
      </c>
      <c r="I31" s="19">
        <f>+F31</f>
        <v>800</v>
      </c>
    </row>
    <row r="32" spans="2:10" x14ac:dyDescent="0.3">
      <c r="B32" s="5" t="s">
        <v>59</v>
      </c>
      <c r="C32" s="5" t="s">
        <v>53</v>
      </c>
      <c r="D32" s="9">
        <v>600</v>
      </c>
      <c r="E32" s="9">
        <v>600</v>
      </c>
      <c r="F32" s="9">
        <v>600</v>
      </c>
      <c r="G32" s="22">
        <f>+F32</f>
        <v>600</v>
      </c>
      <c r="H32" s="19">
        <f>+G32</f>
        <v>600</v>
      </c>
      <c r="I32" s="25">
        <v>450</v>
      </c>
      <c r="J32" s="10"/>
    </row>
    <row r="33" spans="2:10" x14ac:dyDescent="0.3">
      <c r="B33" s="5" t="s">
        <v>60</v>
      </c>
      <c r="C33" s="5"/>
      <c r="D33" s="9">
        <v>400</v>
      </c>
      <c r="E33" s="9">
        <v>400</v>
      </c>
      <c r="F33" s="9">
        <v>400</v>
      </c>
      <c r="G33" s="22">
        <f>+F33</f>
        <v>400</v>
      </c>
      <c r="H33" s="19">
        <f>+G33</f>
        <v>400</v>
      </c>
      <c r="I33" s="25">
        <v>400</v>
      </c>
      <c r="J33" s="10"/>
    </row>
    <row r="34" spans="2:10" x14ac:dyDescent="0.3">
      <c r="B34" s="5"/>
      <c r="C34" s="5"/>
      <c r="D34" s="9">
        <f>SUM(D31:D33)</f>
        <v>1800</v>
      </c>
      <c r="E34" s="9">
        <f t="shared" ref="E34:F34" si="4">SUM(E31:E33)</f>
        <v>1800</v>
      </c>
      <c r="F34" s="9">
        <f t="shared" si="4"/>
        <v>1800</v>
      </c>
      <c r="G34" s="22">
        <f>SUM(G31:G33)</f>
        <v>1800</v>
      </c>
      <c r="H34" s="25">
        <f>SUM(H31:H33)</f>
        <v>1880</v>
      </c>
      <c r="I34" s="19">
        <f>SUM(I31:I33)</f>
        <v>1650</v>
      </c>
      <c r="J34" s="10"/>
    </row>
    <row r="35" spans="2:10" x14ac:dyDescent="0.3">
      <c r="B35" s="5" t="s">
        <v>44</v>
      </c>
      <c r="C35" s="5"/>
      <c r="D35" s="31">
        <f>+D29*D34</f>
        <v>9000</v>
      </c>
      <c r="E35" s="31">
        <f>+E29*E34</f>
        <v>7200</v>
      </c>
      <c r="F35" s="31">
        <f t="shared" ref="F35" si="5">+F29*F34</f>
        <v>10800</v>
      </c>
      <c r="G35" s="32">
        <f>SUM(D35:F35)</f>
        <v>27000</v>
      </c>
      <c r="H35" s="19">
        <f>+H29*H34</f>
        <v>28200</v>
      </c>
      <c r="I35" s="19">
        <f>+I29*I34</f>
        <v>24750</v>
      </c>
    </row>
    <row r="37" spans="2:10" x14ac:dyDescent="0.3">
      <c r="B37" s="1" t="s">
        <v>30</v>
      </c>
    </row>
    <row r="38" spans="2:10" x14ac:dyDescent="0.3">
      <c r="C38" s="37" t="s">
        <v>16</v>
      </c>
      <c r="D38" s="37"/>
      <c r="E38" s="37"/>
      <c r="F38" s="37"/>
    </row>
    <row r="39" spans="2:10" x14ac:dyDescent="0.3">
      <c r="C39" s="37"/>
      <c r="D39" s="37"/>
      <c r="E39" s="37"/>
      <c r="F39" s="37"/>
    </row>
    <row r="41" spans="2:10" x14ac:dyDescent="0.3">
      <c r="B41" s="35" t="s">
        <v>10</v>
      </c>
      <c r="C41" s="36"/>
      <c r="D41" s="6" t="s">
        <v>2</v>
      </c>
      <c r="E41" s="6" t="s">
        <v>3</v>
      </c>
      <c r="F41" s="6" t="s">
        <v>4</v>
      </c>
      <c r="G41" s="24" t="s">
        <v>47</v>
      </c>
      <c r="H41" s="24" t="s">
        <v>54</v>
      </c>
    </row>
    <row r="42" spans="2:10" x14ac:dyDescent="0.3">
      <c r="B42" s="35" t="s">
        <v>61</v>
      </c>
      <c r="C42" s="36"/>
      <c r="D42" s="6">
        <v>500</v>
      </c>
      <c r="E42" s="6">
        <v>500</v>
      </c>
      <c r="F42" s="6">
        <v>500</v>
      </c>
      <c r="G42" s="7">
        <f>SUM(D42:F42)</f>
        <v>1500</v>
      </c>
      <c r="H42" s="7">
        <f>+G42</f>
        <v>1500</v>
      </c>
    </row>
    <row r="43" spans="2:10" x14ac:dyDescent="0.3">
      <c r="B43" s="13" t="s">
        <v>46</v>
      </c>
      <c r="C43" s="14"/>
      <c r="D43" s="6">
        <v>0</v>
      </c>
      <c r="E43" s="6">
        <v>0</v>
      </c>
      <c r="F43" s="6">
        <v>0</v>
      </c>
      <c r="G43" s="7">
        <f t="shared" ref="G43:G45" si="6">SUM(D43:F43)</f>
        <v>0</v>
      </c>
      <c r="H43" s="5"/>
    </row>
    <row r="44" spans="2:10" x14ac:dyDescent="0.3">
      <c r="B44" s="35" t="s">
        <v>62</v>
      </c>
      <c r="C44" s="36"/>
      <c r="D44" s="6">
        <v>2800</v>
      </c>
      <c r="E44" s="6">
        <v>2800</v>
      </c>
      <c r="F44" s="6">
        <v>2800</v>
      </c>
      <c r="G44" s="7">
        <f t="shared" si="6"/>
        <v>8400</v>
      </c>
      <c r="H44" s="5">
        <f>+G44+((-100+180)*3)</f>
        <v>8640</v>
      </c>
    </row>
    <row r="45" spans="2:10" x14ac:dyDescent="0.3">
      <c r="B45" s="35" t="s">
        <v>33</v>
      </c>
      <c r="C45" s="36"/>
      <c r="D45" s="18">
        <f>SUM(D42:D44)</f>
        <v>3300</v>
      </c>
      <c r="E45" s="18">
        <f t="shared" ref="E45:F45" si="7">SUM(E42:E44)</f>
        <v>3300</v>
      </c>
      <c r="F45" s="18">
        <f t="shared" si="7"/>
        <v>3300</v>
      </c>
      <c r="G45" s="20">
        <f t="shared" si="6"/>
        <v>9900</v>
      </c>
      <c r="H45" s="7">
        <f>SUM(H42:H44)</f>
        <v>10140</v>
      </c>
    </row>
    <row r="47" spans="2:10" x14ac:dyDescent="0.3">
      <c r="B47" s="1" t="s">
        <v>17</v>
      </c>
    </row>
    <row r="48" spans="2:10" x14ac:dyDescent="0.3">
      <c r="C48" s="37" t="s">
        <v>18</v>
      </c>
      <c r="D48" s="37"/>
      <c r="E48" s="37"/>
      <c r="F48" s="37"/>
    </row>
    <row r="49" spans="2:17" x14ac:dyDescent="0.3">
      <c r="C49" s="37"/>
      <c r="D49" s="37"/>
      <c r="E49" s="37"/>
      <c r="F49" s="37"/>
    </row>
    <row r="51" spans="2:17" x14ac:dyDescent="0.3">
      <c r="B51" s="11" t="s">
        <v>34</v>
      </c>
      <c r="C51" s="8" t="s">
        <v>10</v>
      </c>
      <c r="D51" s="8" t="s">
        <v>19</v>
      </c>
      <c r="H51" s="5" t="s">
        <v>38</v>
      </c>
      <c r="I51" s="12">
        <f>(-D55/(+G56-G34))</f>
        <v>13.685374619850704</v>
      </c>
      <c r="K51" s="11" t="s">
        <v>34</v>
      </c>
      <c r="L51" s="8" t="s">
        <v>10</v>
      </c>
      <c r="M51" s="8" t="s">
        <v>5</v>
      </c>
      <c r="N51" t="s">
        <v>40</v>
      </c>
      <c r="O51" s="15" t="s">
        <v>41</v>
      </c>
    </row>
    <row r="52" spans="2:17" x14ac:dyDescent="0.3">
      <c r="C52" s="5" t="s">
        <v>20</v>
      </c>
      <c r="D52" s="7">
        <f>+F7*G56</f>
        <v>37851</v>
      </c>
      <c r="H52" s="5" t="s">
        <v>39</v>
      </c>
      <c r="I52" s="12">
        <f>(-D55/((1-(G34/G56))))</f>
        <v>34533.674315731274</v>
      </c>
      <c r="L52" s="5" t="s">
        <v>20</v>
      </c>
      <c r="M52" s="7">
        <v>15</v>
      </c>
      <c r="N52" s="17">
        <f>-Q56/M52</f>
        <v>2583.3333333333335</v>
      </c>
      <c r="O52" s="12">
        <f>+M52*N52</f>
        <v>38750</v>
      </c>
    </row>
    <row r="53" spans="2:17" x14ac:dyDescent="0.3">
      <c r="C53" s="5" t="s">
        <v>21</v>
      </c>
      <c r="D53" s="7">
        <f>-G35</f>
        <v>-27000</v>
      </c>
      <c r="L53" s="5" t="s">
        <v>21</v>
      </c>
      <c r="M53" s="7">
        <v>15</v>
      </c>
      <c r="N53" s="10">
        <f>-G34</f>
        <v>-1800</v>
      </c>
      <c r="O53" s="12">
        <f>+M53*N53</f>
        <v>-27000</v>
      </c>
    </row>
    <row r="54" spans="2:17" x14ac:dyDescent="0.3">
      <c r="C54" s="5" t="s">
        <v>22</v>
      </c>
      <c r="D54" s="7">
        <f>+D52+D53</f>
        <v>10851</v>
      </c>
      <c r="L54" s="5" t="s">
        <v>22</v>
      </c>
      <c r="M54" s="7"/>
      <c r="O54" s="12">
        <f>+O52+O53</f>
        <v>11750</v>
      </c>
    </row>
    <row r="55" spans="2:17" x14ac:dyDescent="0.3">
      <c r="C55" s="5" t="s">
        <v>23</v>
      </c>
      <c r="D55" s="7">
        <f>-G45</f>
        <v>-9900</v>
      </c>
      <c r="L55" s="5" t="s">
        <v>23</v>
      </c>
      <c r="M55" s="7">
        <f>-P45</f>
        <v>0</v>
      </c>
      <c r="O55" s="12">
        <f>-G45</f>
        <v>-9900</v>
      </c>
    </row>
    <row r="56" spans="2:17" x14ac:dyDescent="0.3">
      <c r="C56" s="5" t="s">
        <v>24</v>
      </c>
      <c r="D56" s="7">
        <f>+D54+D55</f>
        <v>951</v>
      </c>
      <c r="F56">
        <v>38750</v>
      </c>
      <c r="G56" s="30">
        <v>2523.4</v>
      </c>
      <c r="H56" s="8" t="s">
        <v>48</v>
      </c>
      <c r="I56" s="8"/>
      <c r="J56" s="8"/>
      <c r="L56" s="5" t="s">
        <v>24</v>
      </c>
      <c r="M56" s="7">
        <f>+M54+M55</f>
        <v>0</v>
      </c>
      <c r="O56" s="12">
        <f>+O54+O55</f>
        <v>1850</v>
      </c>
      <c r="Q56" s="4">
        <f>-37800-950</f>
        <v>-38750</v>
      </c>
    </row>
    <row r="59" spans="2:17" x14ac:dyDescent="0.3">
      <c r="B59" s="11" t="s">
        <v>35</v>
      </c>
      <c r="C59" s="8" t="s">
        <v>10</v>
      </c>
      <c r="D59" s="8" t="s">
        <v>19</v>
      </c>
      <c r="K59" s="11" t="s">
        <v>35</v>
      </c>
      <c r="L59" s="8" t="s">
        <v>10</v>
      </c>
      <c r="M59" s="8" t="s">
        <v>5</v>
      </c>
      <c r="N59" t="s">
        <v>40</v>
      </c>
      <c r="O59" s="15" t="s">
        <v>41</v>
      </c>
    </row>
    <row r="60" spans="2:17" x14ac:dyDescent="0.3">
      <c r="C60" s="5" t="s">
        <v>20</v>
      </c>
      <c r="D60" s="7">
        <f>+F7*G64</f>
        <v>34065.9</v>
      </c>
      <c r="L60" s="5" t="s">
        <v>20</v>
      </c>
      <c r="M60" s="7">
        <v>15</v>
      </c>
      <c r="N60" s="17">
        <f>+N52*(1-0.1)</f>
        <v>2325</v>
      </c>
      <c r="O60" s="12">
        <f>+M60*N60</f>
        <v>34875</v>
      </c>
    </row>
    <row r="61" spans="2:17" x14ac:dyDescent="0.3">
      <c r="C61" s="5" t="s">
        <v>21</v>
      </c>
      <c r="D61" s="7">
        <f>+D53</f>
        <v>-27000</v>
      </c>
      <c r="L61" s="5" t="s">
        <v>21</v>
      </c>
      <c r="M61" s="7">
        <v>15</v>
      </c>
      <c r="N61" s="10">
        <f>+N53</f>
        <v>-1800</v>
      </c>
      <c r="O61" s="12">
        <f>+M61*N61</f>
        <v>-27000</v>
      </c>
    </row>
    <row r="62" spans="2:17" x14ac:dyDescent="0.3">
      <c r="C62" s="5" t="s">
        <v>22</v>
      </c>
      <c r="D62" s="7">
        <f>+D60+D61</f>
        <v>7065.9000000000015</v>
      </c>
      <c r="L62" s="5" t="s">
        <v>22</v>
      </c>
      <c r="M62" s="7"/>
      <c r="O62" s="12">
        <f>+O60+O61</f>
        <v>7875</v>
      </c>
    </row>
    <row r="63" spans="2:17" x14ac:dyDescent="0.3">
      <c r="C63" s="5" t="s">
        <v>23</v>
      </c>
      <c r="D63" s="7">
        <f>+D55</f>
        <v>-9900</v>
      </c>
      <c r="L63" s="5" t="s">
        <v>23</v>
      </c>
      <c r="M63" s="7">
        <f>-P53</f>
        <v>0</v>
      </c>
      <c r="O63" s="12">
        <f>-G45</f>
        <v>-9900</v>
      </c>
    </row>
    <row r="64" spans="2:17" x14ac:dyDescent="0.3">
      <c r="C64" s="5" t="s">
        <v>24</v>
      </c>
      <c r="D64" s="7">
        <f>+D62+D63</f>
        <v>-2834.0999999999985</v>
      </c>
      <c r="G64" s="8">
        <f>+G56*0.9</f>
        <v>2271.06</v>
      </c>
      <c r="H64" s="8" t="s">
        <v>49</v>
      </c>
      <c r="I64" s="8"/>
      <c r="J64" s="8"/>
      <c r="L64" s="5" t="s">
        <v>24</v>
      </c>
      <c r="M64" s="7">
        <f>+M62+M63</f>
        <v>0</v>
      </c>
      <c r="O64" s="12">
        <f>+O62+O63</f>
        <v>-2025</v>
      </c>
    </row>
    <row r="66" spans="2:15" x14ac:dyDescent="0.3">
      <c r="B66" s="11" t="s">
        <v>36</v>
      </c>
      <c r="C66" s="8" t="s">
        <v>10</v>
      </c>
      <c r="D66" s="8" t="s">
        <v>19</v>
      </c>
      <c r="K66" s="11" t="s">
        <v>36</v>
      </c>
      <c r="L66" s="8" t="s">
        <v>10</v>
      </c>
      <c r="M66" s="8" t="s">
        <v>5</v>
      </c>
      <c r="N66" t="s">
        <v>40</v>
      </c>
      <c r="O66" s="15" t="s">
        <v>41</v>
      </c>
    </row>
    <row r="67" spans="2:15" x14ac:dyDescent="0.3">
      <c r="C67" s="5" t="s">
        <v>20</v>
      </c>
      <c r="D67" s="7">
        <f>+F7*G67</f>
        <v>37851</v>
      </c>
      <c r="G67" s="33">
        <f>+G56</f>
        <v>2523.4</v>
      </c>
      <c r="L67" s="5" t="s">
        <v>20</v>
      </c>
      <c r="M67" s="7">
        <v>15</v>
      </c>
      <c r="N67" s="17">
        <f>+N52</f>
        <v>2583.3333333333335</v>
      </c>
      <c r="O67" s="16">
        <f>+M67*N67</f>
        <v>38750</v>
      </c>
    </row>
    <row r="68" spans="2:15" x14ac:dyDescent="0.3">
      <c r="C68" s="5" t="s">
        <v>21</v>
      </c>
      <c r="D68" s="7">
        <f>-H35</f>
        <v>-28200</v>
      </c>
      <c r="L68" s="5" t="s">
        <v>21</v>
      </c>
      <c r="M68" s="7">
        <v>15</v>
      </c>
      <c r="N68" s="10">
        <f>-H34</f>
        <v>-1880</v>
      </c>
      <c r="O68" s="16">
        <f>+M68*N68</f>
        <v>-28200</v>
      </c>
    </row>
    <row r="69" spans="2:15" x14ac:dyDescent="0.3">
      <c r="C69" s="5" t="s">
        <v>22</v>
      </c>
      <c r="D69" s="7">
        <f>+D67+D68</f>
        <v>9651</v>
      </c>
      <c r="L69" s="5" t="s">
        <v>22</v>
      </c>
      <c r="M69" s="7"/>
      <c r="O69" s="7">
        <f>+O67+O68</f>
        <v>10550</v>
      </c>
    </row>
    <row r="70" spans="2:15" x14ac:dyDescent="0.3">
      <c r="C70" s="5" t="s">
        <v>23</v>
      </c>
      <c r="D70" s="7">
        <f>+D63</f>
        <v>-9900</v>
      </c>
      <c r="L70" s="5" t="s">
        <v>23</v>
      </c>
      <c r="M70" s="7">
        <f>-P60</f>
        <v>0</v>
      </c>
      <c r="O70" s="7">
        <f>-G45</f>
        <v>-9900</v>
      </c>
    </row>
    <row r="71" spans="2:15" x14ac:dyDescent="0.3">
      <c r="C71" s="5" t="s">
        <v>24</v>
      </c>
      <c r="D71" s="7">
        <f>+D69+D70</f>
        <v>-249</v>
      </c>
      <c r="L71" s="5" t="s">
        <v>24</v>
      </c>
      <c r="M71" s="7">
        <f>+M69+M70</f>
        <v>0</v>
      </c>
      <c r="O71" s="7">
        <f>+O69+O70</f>
        <v>650</v>
      </c>
    </row>
    <row r="73" spans="2:15" x14ac:dyDescent="0.3">
      <c r="B73" s="11" t="s">
        <v>37</v>
      </c>
      <c r="C73" s="8" t="s">
        <v>10</v>
      </c>
      <c r="D73" s="8" t="s">
        <v>19</v>
      </c>
      <c r="G73" s="33">
        <f>+G67</f>
        <v>2523.4</v>
      </c>
      <c r="K73" s="11">
        <v>4</v>
      </c>
      <c r="L73" s="8" t="s">
        <v>10</v>
      </c>
      <c r="M73" s="8" t="s">
        <v>5</v>
      </c>
      <c r="N73" t="s">
        <v>40</v>
      </c>
      <c r="O73" s="15" t="s">
        <v>41</v>
      </c>
    </row>
    <row r="74" spans="2:15" x14ac:dyDescent="0.3">
      <c r="C74" s="5" t="s">
        <v>20</v>
      </c>
      <c r="D74" s="7">
        <f>+D52</f>
        <v>37851</v>
      </c>
      <c r="L74" s="5" t="s">
        <v>20</v>
      </c>
      <c r="M74" s="7">
        <v>15500</v>
      </c>
      <c r="N74" s="17">
        <f>+G56</f>
        <v>2523.4</v>
      </c>
      <c r="O74" s="16">
        <f>+M74*N74</f>
        <v>39112700</v>
      </c>
    </row>
    <row r="75" spans="2:15" x14ac:dyDescent="0.3">
      <c r="C75" s="5" t="s">
        <v>21</v>
      </c>
      <c r="D75" s="7">
        <f>-I35</f>
        <v>-24750</v>
      </c>
      <c r="L75" s="5" t="s">
        <v>21</v>
      </c>
      <c r="M75" s="7">
        <v>15500</v>
      </c>
      <c r="N75" s="10">
        <f>-I34</f>
        <v>-1650</v>
      </c>
      <c r="O75" s="16">
        <f>+M75*N75</f>
        <v>-25575000</v>
      </c>
    </row>
    <row r="76" spans="2:15" x14ac:dyDescent="0.3">
      <c r="C76" s="5" t="s">
        <v>22</v>
      </c>
      <c r="D76" s="7">
        <f>+D74+D75</f>
        <v>13101</v>
      </c>
      <c r="L76" s="5" t="s">
        <v>22</v>
      </c>
      <c r="M76" s="7">
        <f>+M74+M75</f>
        <v>31000</v>
      </c>
      <c r="O76" s="7">
        <f>+O74+O75</f>
        <v>13537700</v>
      </c>
    </row>
    <row r="77" spans="2:15" x14ac:dyDescent="0.3">
      <c r="C77" s="5" t="s">
        <v>23</v>
      </c>
      <c r="D77" s="7">
        <f>-H45</f>
        <v>-10140</v>
      </c>
      <c r="L77" s="5" t="s">
        <v>23</v>
      </c>
      <c r="M77" s="7">
        <f>-P67</f>
        <v>0</v>
      </c>
      <c r="O77" s="7">
        <f>-H45</f>
        <v>-10140</v>
      </c>
    </row>
    <row r="78" spans="2:15" x14ac:dyDescent="0.3">
      <c r="C78" s="5" t="s">
        <v>24</v>
      </c>
      <c r="D78" s="7">
        <f>+D76+D77</f>
        <v>2961</v>
      </c>
      <c r="L78" s="5" t="s">
        <v>24</v>
      </c>
      <c r="M78" s="7">
        <f>+M76+M77</f>
        <v>31000</v>
      </c>
      <c r="O78" s="7">
        <f>+O76+O77</f>
        <v>13527560</v>
      </c>
    </row>
    <row r="79" spans="2:15" ht="15" thickBot="1" x14ac:dyDescent="0.35"/>
    <row r="80" spans="2:15" x14ac:dyDescent="0.3">
      <c r="B80" s="11" t="s">
        <v>56</v>
      </c>
      <c r="C80" s="38" t="s">
        <v>57</v>
      </c>
      <c r="D80" s="39"/>
    </row>
    <row r="81" spans="3:4" x14ac:dyDescent="0.3">
      <c r="C81" s="26" t="s">
        <v>38</v>
      </c>
      <c r="D81" s="27">
        <f>(-D55/(G56-G34))</f>
        <v>13.685374619850704</v>
      </c>
    </row>
    <row r="82" spans="3:4" ht="15" thickBot="1" x14ac:dyDescent="0.35">
      <c r="C82" s="28" t="s">
        <v>39</v>
      </c>
      <c r="D82" s="29">
        <f>(-D55/(1-(G34/G56)))</f>
        <v>34533.674315731274</v>
      </c>
    </row>
    <row r="83" spans="3:4" ht="15" thickBot="1" x14ac:dyDescent="0.35"/>
    <row r="84" spans="3:4" x14ac:dyDescent="0.3">
      <c r="C84" s="40" t="s">
        <v>55</v>
      </c>
      <c r="D84" s="41"/>
    </row>
    <row r="85" spans="3:4" x14ac:dyDescent="0.3">
      <c r="C85" s="26" t="s">
        <v>38</v>
      </c>
      <c r="D85" s="27">
        <f>(-D77/(G73-I34))</f>
        <v>11.60980077856652</v>
      </c>
    </row>
    <row r="86" spans="3:4" ht="15" thickBot="1" x14ac:dyDescent="0.35">
      <c r="C86" s="28" t="s">
        <v>39</v>
      </c>
      <c r="D86" s="29">
        <f>(-D77/(1-(I34/G73)))</f>
        <v>29296.171284634758</v>
      </c>
    </row>
  </sheetData>
  <mergeCells count="16">
    <mergeCell ref="B45:C45"/>
    <mergeCell ref="C48:F49"/>
    <mergeCell ref="C80:D80"/>
    <mergeCell ref="C84:D84"/>
    <mergeCell ref="B21:C21"/>
    <mergeCell ref="C25:F26"/>
    <mergeCell ref="C38:F39"/>
    <mergeCell ref="B41:C41"/>
    <mergeCell ref="B42:C42"/>
    <mergeCell ref="B44:C44"/>
    <mergeCell ref="B20:C20"/>
    <mergeCell ref="C3:F4"/>
    <mergeCell ref="C12:F15"/>
    <mergeCell ref="B17:C17"/>
    <mergeCell ref="B18:C18"/>
    <mergeCell ref="B19:C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4FDF-8DAC-47B9-A2DD-BE3565836F8D}">
  <dimension ref="B2:Q86"/>
  <sheetViews>
    <sheetView topLeftCell="B1" workbookViewId="0">
      <selection activeCell="B1" sqref="A1:XFD1048576"/>
    </sheetView>
  </sheetViews>
  <sheetFormatPr baseColWidth="10" defaultRowHeight="14.4" x14ac:dyDescent="0.3"/>
  <cols>
    <col min="1" max="1" width="0.88671875" customWidth="1"/>
    <col min="2" max="2" width="40.5546875" customWidth="1"/>
    <col min="3" max="3" width="19.77734375" customWidth="1"/>
    <col min="4" max="4" width="14.5546875" customWidth="1"/>
    <col min="5" max="5" width="15.109375" customWidth="1"/>
    <col min="6" max="6" width="15" customWidth="1"/>
    <col min="7" max="7" width="14.21875" customWidth="1"/>
    <col min="8" max="8" width="19.21875" customWidth="1"/>
    <col min="9" max="9" width="14.88671875" customWidth="1"/>
    <col min="10" max="10" width="13.109375" customWidth="1"/>
    <col min="12" max="12" width="17.109375" bestFit="1" customWidth="1"/>
    <col min="15" max="15" width="14.44140625" customWidth="1"/>
  </cols>
  <sheetData>
    <row r="2" spans="2:7" x14ac:dyDescent="0.3">
      <c r="B2" s="1" t="s">
        <v>0</v>
      </c>
    </row>
    <row r="3" spans="2:7" ht="14.4" customHeight="1" x14ac:dyDescent="0.3">
      <c r="C3" s="42" t="s">
        <v>1</v>
      </c>
      <c r="D3" s="42"/>
      <c r="E3" s="42"/>
      <c r="F3" s="42"/>
      <c r="G3" s="2"/>
    </row>
    <row r="4" spans="2:7" x14ac:dyDescent="0.3">
      <c r="C4" s="42"/>
      <c r="D4" s="42"/>
      <c r="E4" s="42"/>
      <c r="F4" s="42"/>
      <c r="G4" s="2"/>
    </row>
    <row r="5" spans="2:7" x14ac:dyDescent="0.3">
      <c r="C5" s="2"/>
      <c r="D5" s="2"/>
      <c r="E5" s="2"/>
      <c r="F5" s="2"/>
      <c r="G5" s="2"/>
    </row>
    <row r="6" spans="2:7" x14ac:dyDescent="0.3">
      <c r="B6" s="5"/>
      <c r="C6" s="5" t="s">
        <v>2</v>
      </c>
      <c r="D6" s="5" t="s">
        <v>3</v>
      </c>
      <c r="E6" s="5" t="s">
        <v>4</v>
      </c>
      <c r="F6" s="5" t="s">
        <v>45</v>
      </c>
    </row>
    <row r="7" spans="2:7" x14ac:dyDescent="0.3">
      <c r="B7" s="5" t="s">
        <v>5</v>
      </c>
      <c r="C7" s="6">
        <v>500</v>
      </c>
      <c r="D7" s="6">
        <v>450</v>
      </c>
      <c r="E7" s="6">
        <v>600</v>
      </c>
      <c r="F7" s="7">
        <f>SUM(C7:E7)</f>
        <v>1550</v>
      </c>
    </row>
    <row r="8" spans="2:7" x14ac:dyDescent="0.3">
      <c r="B8" s="5" t="s">
        <v>7</v>
      </c>
      <c r="C8" s="6">
        <v>0</v>
      </c>
      <c r="D8" s="6">
        <v>0</v>
      </c>
      <c r="E8" s="6">
        <v>0</v>
      </c>
      <c r="F8" s="7">
        <f t="shared" ref="F8:F9" si="0">SUM(C8:E8)</f>
        <v>0</v>
      </c>
    </row>
    <row r="9" spans="2:7" x14ac:dyDescent="0.3">
      <c r="B9" s="5" t="s">
        <v>6</v>
      </c>
      <c r="C9" s="6">
        <f>+C7*C8</f>
        <v>0</v>
      </c>
      <c r="D9" s="6">
        <f t="shared" ref="D9:E9" si="1">+D7*D8</f>
        <v>0</v>
      </c>
      <c r="E9" s="6">
        <f t="shared" si="1"/>
        <v>0</v>
      </c>
      <c r="F9" s="7">
        <f t="shared" si="0"/>
        <v>0</v>
      </c>
    </row>
    <row r="10" spans="2:7" x14ac:dyDescent="0.3">
      <c r="C10" s="3"/>
      <c r="D10" s="3"/>
      <c r="E10" s="3"/>
    </row>
    <row r="11" spans="2:7" x14ac:dyDescent="0.3">
      <c r="B11" s="1" t="s">
        <v>9</v>
      </c>
      <c r="C11" s="3"/>
      <c r="D11" s="3"/>
      <c r="E11" s="3"/>
    </row>
    <row r="12" spans="2:7" ht="14.4" customHeight="1" x14ac:dyDescent="0.3">
      <c r="C12" s="42" t="s">
        <v>42</v>
      </c>
      <c r="D12" s="42"/>
      <c r="E12" s="42"/>
      <c r="F12" s="42"/>
    </row>
    <row r="13" spans="2:7" x14ac:dyDescent="0.3">
      <c r="C13" s="42"/>
      <c r="D13" s="42"/>
      <c r="E13" s="42"/>
      <c r="F13" s="42"/>
    </row>
    <row r="14" spans="2:7" x14ac:dyDescent="0.3">
      <c r="C14" s="42"/>
      <c r="D14" s="42"/>
      <c r="E14" s="42"/>
      <c r="F14" s="42"/>
    </row>
    <row r="15" spans="2:7" x14ac:dyDescent="0.3">
      <c r="C15" s="42"/>
      <c r="D15" s="42"/>
      <c r="E15" s="42"/>
      <c r="F15" s="42"/>
    </row>
    <row r="16" spans="2:7" x14ac:dyDescent="0.3">
      <c r="C16" s="3"/>
      <c r="D16" s="3"/>
      <c r="E16" s="3"/>
    </row>
    <row r="17" spans="2:10" x14ac:dyDescent="0.3">
      <c r="B17" s="42" t="s">
        <v>10</v>
      </c>
      <c r="C17" s="42"/>
      <c r="D17" s="6" t="s">
        <v>2</v>
      </c>
      <c r="E17" s="6" t="s">
        <v>3</v>
      </c>
      <c r="F17" s="6" t="s">
        <v>4</v>
      </c>
      <c r="G17" s="24" t="s">
        <v>45</v>
      </c>
    </row>
    <row r="18" spans="2:10" x14ac:dyDescent="0.3">
      <c r="B18" s="42" t="s">
        <v>11</v>
      </c>
      <c r="C18" s="42"/>
      <c r="D18" s="6">
        <f>+C7</f>
        <v>500</v>
      </c>
      <c r="E18" s="6">
        <f>+D7</f>
        <v>450</v>
      </c>
      <c r="F18" s="6">
        <f>+E7</f>
        <v>600</v>
      </c>
      <c r="G18" s="7">
        <f>SUM(D18:F18)</f>
        <v>1550</v>
      </c>
    </row>
    <row r="19" spans="2:10" x14ac:dyDescent="0.3">
      <c r="B19" s="42" t="s">
        <v>12</v>
      </c>
      <c r="C19" s="42"/>
      <c r="D19" s="6">
        <v>0</v>
      </c>
      <c r="E19" s="6">
        <v>0</v>
      </c>
      <c r="F19" s="6">
        <v>0</v>
      </c>
      <c r="G19" s="7">
        <f t="shared" ref="G19:G21" si="2">SUM(D19:F19)</f>
        <v>0</v>
      </c>
    </row>
    <row r="20" spans="2:10" x14ac:dyDescent="0.3">
      <c r="B20" s="42" t="s">
        <v>43</v>
      </c>
      <c r="C20" s="42"/>
      <c r="D20" s="6">
        <f>SUM(D18:D19)</f>
        <v>500</v>
      </c>
      <c r="E20" s="6">
        <f t="shared" ref="E20:F20" si="3">SUM(E18:E19)</f>
        <v>450</v>
      </c>
      <c r="F20" s="6">
        <f t="shared" si="3"/>
        <v>600</v>
      </c>
      <c r="G20" s="7">
        <f t="shared" si="2"/>
        <v>1550</v>
      </c>
    </row>
    <row r="21" spans="2:10" x14ac:dyDescent="0.3">
      <c r="B21" s="42" t="s">
        <v>13</v>
      </c>
      <c r="C21" s="42"/>
      <c r="D21" s="6">
        <v>0</v>
      </c>
      <c r="E21" s="6">
        <v>0</v>
      </c>
      <c r="F21" s="6">
        <v>0</v>
      </c>
      <c r="G21" s="7">
        <f t="shared" si="2"/>
        <v>0</v>
      </c>
    </row>
    <row r="24" spans="2:10" x14ac:dyDescent="0.3">
      <c r="B24" s="1" t="s">
        <v>27</v>
      </c>
    </row>
    <row r="25" spans="2:10" x14ac:dyDescent="0.3">
      <c r="C25" s="37" t="s">
        <v>14</v>
      </c>
      <c r="D25" s="37"/>
      <c r="E25" s="37"/>
      <c r="F25" s="37"/>
    </row>
    <row r="26" spans="2:10" x14ac:dyDescent="0.3">
      <c r="C26" s="37"/>
      <c r="D26" s="37"/>
      <c r="E26" s="37"/>
      <c r="F26" s="37"/>
    </row>
    <row r="28" spans="2:10" x14ac:dyDescent="0.3">
      <c r="B28" s="8" t="s">
        <v>25</v>
      </c>
      <c r="C28" s="5"/>
      <c r="D28" s="7" t="str">
        <f>+D17</f>
        <v>Enero</v>
      </c>
      <c r="E28" s="7" t="str">
        <f>+E17</f>
        <v>Febrero</v>
      </c>
      <c r="F28" s="7" t="str">
        <f>+F17</f>
        <v>Marzo</v>
      </c>
      <c r="G28" s="15" t="s">
        <v>45</v>
      </c>
      <c r="H28" s="5" t="s">
        <v>50</v>
      </c>
      <c r="I28" s="5" t="s">
        <v>51</v>
      </c>
    </row>
    <row r="29" spans="2:10" x14ac:dyDescent="0.3">
      <c r="B29" s="5" t="s">
        <v>15</v>
      </c>
      <c r="C29" s="5"/>
      <c r="D29" s="6">
        <f>+D20</f>
        <v>500</v>
      </c>
      <c r="E29" s="6">
        <f>+E20</f>
        <v>450</v>
      </c>
      <c r="F29" s="6">
        <f>+F20</f>
        <v>600</v>
      </c>
      <c r="G29" s="21">
        <f>SUM(D29:F29)</f>
        <v>1550</v>
      </c>
      <c r="H29" s="7">
        <f>+G29</f>
        <v>1550</v>
      </c>
      <c r="I29" s="7">
        <f>+H29</f>
        <v>1550</v>
      </c>
    </row>
    <row r="30" spans="2:10" x14ac:dyDescent="0.3">
      <c r="B30" s="5"/>
      <c r="C30" s="5"/>
      <c r="D30" s="6"/>
      <c r="E30" s="6"/>
      <c r="F30" s="6"/>
      <c r="G30" s="15"/>
      <c r="H30" s="5"/>
      <c r="I30" s="5"/>
    </row>
    <row r="31" spans="2:10" x14ac:dyDescent="0.3">
      <c r="B31" s="5" t="s">
        <v>63</v>
      </c>
      <c r="C31" s="5" t="s">
        <v>52</v>
      </c>
      <c r="D31" s="9">
        <v>80000</v>
      </c>
      <c r="E31" s="9">
        <f>+D31</f>
        <v>80000</v>
      </c>
      <c r="F31" s="9">
        <f>+E31</f>
        <v>80000</v>
      </c>
      <c r="G31" s="22">
        <f>+F31</f>
        <v>80000</v>
      </c>
      <c r="H31" s="9">
        <f>+G31*1.1</f>
        <v>88000</v>
      </c>
      <c r="I31" s="19">
        <f>+F31</f>
        <v>80000</v>
      </c>
    </row>
    <row r="32" spans="2:10" x14ac:dyDescent="0.3">
      <c r="B32" s="5" t="s">
        <v>64</v>
      </c>
      <c r="C32" s="5" t="s">
        <v>53</v>
      </c>
      <c r="D32" s="9">
        <v>60000</v>
      </c>
      <c r="E32" s="9">
        <f t="shared" ref="E32:F32" si="4">+D32</f>
        <v>60000</v>
      </c>
      <c r="F32" s="9">
        <f t="shared" si="4"/>
        <v>60000</v>
      </c>
      <c r="G32" s="22">
        <f>+F32</f>
        <v>60000</v>
      </c>
      <c r="H32" s="19">
        <f>+G32</f>
        <v>60000</v>
      </c>
      <c r="I32" s="25">
        <v>45000</v>
      </c>
      <c r="J32" s="10"/>
    </row>
    <row r="33" spans="2:10" x14ac:dyDescent="0.3">
      <c r="B33" s="5" t="s">
        <v>65</v>
      </c>
      <c r="C33" s="5" t="s">
        <v>29</v>
      </c>
      <c r="D33" s="9">
        <v>40000</v>
      </c>
      <c r="E33" s="9">
        <f t="shared" ref="E33:F33" si="5">+D33</f>
        <v>40000</v>
      </c>
      <c r="F33" s="9">
        <f t="shared" si="5"/>
        <v>40000</v>
      </c>
      <c r="G33" s="22">
        <f>+F33</f>
        <v>40000</v>
      </c>
      <c r="H33" s="19">
        <f>+G33</f>
        <v>40000</v>
      </c>
      <c r="I33" s="25">
        <f>+H33</f>
        <v>40000</v>
      </c>
      <c r="J33" s="10"/>
    </row>
    <row r="34" spans="2:10" x14ac:dyDescent="0.3">
      <c r="B34" s="5"/>
      <c r="C34" s="5"/>
      <c r="D34" s="9">
        <f>SUM(D31:D33)</f>
        <v>180000</v>
      </c>
      <c r="E34" s="9">
        <f t="shared" ref="E34:F34" si="6">SUM(E31:E33)</f>
        <v>180000</v>
      </c>
      <c r="F34" s="9">
        <f t="shared" si="6"/>
        <v>180000</v>
      </c>
      <c r="G34" s="22">
        <f>SUM(G31:G33)</f>
        <v>180000</v>
      </c>
      <c r="H34" s="25">
        <f>SUM(H31:H33)</f>
        <v>188000</v>
      </c>
      <c r="I34" s="19">
        <f>SUM(I31:I33)</f>
        <v>165000</v>
      </c>
      <c r="J34" s="10"/>
    </row>
    <row r="35" spans="2:10" x14ac:dyDescent="0.3">
      <c r="B35" s="5" t="s">
        <v>44</v>
      </c>
      <c r="C35" s="5"/>
      <c r="D35" s="31">
        <f>+D29*D34</f>
        <v>90000000</v>
      </c>
      <c r="E35" s="31">
        <f>+E29*E34</f>
        <v>81000000</v>
      </c>
      <c r="F35" s="31">
        <f t="shared" ref="F35" si="7">+F29*F34</f>
        <v>108000000</v>
      </c>
      <c r="G35" s="32">
        <f>SUM(D35:F35)</f>
        <v>279000000</v>
      </c>
      <c r="H35" s="19">
        <f>+H29*H34</f>
        <v>291400000</v>
      </c>
      <c r="I35" s="19">
        <f>+I29*I34</f>
        <v>255750000</v>
      </c>
    </row>
    <row r="37" spans="2:10" x14ac:dyDescent="0.3">
      <c r="B37" s="1" t="s">
        <v>30</v>
      </c>
    </row>
    <row r="38" spans="2:10" x14ac:dyDescent="0.3">
      <c r="C38" s="37" t="s">
        <v>16</v>
      </c>
      <c r="D38" s="37"/>
      <c r="E38" s="37"/>
      <c r="F38" s="37"/>
    </row>
    <row r="39" spans="2:10" x14ac:dyDescent="0.3">
      <c r="C39" s="37"/>
      <c r="D39" s="37"/>
      <c r="E39" s="37"/>
      <c r="F39" s="37"/>
    </row>
    <row r="41" spans="2:10" x14ac:dyDescent="0.3">
      <c r="B41" s="35" t="s">
        <v>10</v>
      </c>
      <c r="C41" s="36"/>
      <c r="D41" s="6" t="s">
        <v>2</v>
      </c>
      <c r="E41" s="6" t="s">
        <v>3</v>
      </c>
      <c r="F41" s="6" t="s">
        <v>4</v>
      </c>
      <c r="G41" s="24" t="s">
        <v>47</v>
      </c>
      <c r="H41" s="24" t="s">
        <v>54</v>
      </c>
    </row>
    <row r="42" spans="2:10" x14ac:dyDescent="0.3">
      <c r="B42" s="35" t="s">
        <v>66</v>
      </c>
      <c r="C42" s="36"/>
      <c r="D42" s="6">
        <v>500000</v>
      </c>
      <c r="E42" s="6">
        <f>+D42</f>
        <v>500000</v>
      </c>
      <c r="F42" s="6">
        <f>+E42</f>
        <v>500000</v>
      </c>
      <c r="G42" s="7">
        <f>SUM(D42:F42)</f>
        <v>1500000</v>
      </c>
      <c r="H42" s="7">
        <f>+G42</f>
        <v>1500000</v>
      </c>
    </row>
    <row r="43" spans="2:10" x14ac:dyDescent="0.3">
      <c r="B43" s="13" t="s">
        <v>46</v>
      </c>
      <c r="C43" s="14"/>
      <c r="D43" s="6">
        <v>0</v>
      </c>
      <c r="E43" s="6">
        <v>0</v>
      </c>
      <c r="F43" s="6">
        <v>0</v>
      </c>
      <c r="G43" s="7">
        <f t="shared" ref="G43:G45" si="8">SUM(D43:F43)</f>
        <v>0</v>
      </c>
      <c r="H43" s="5"/>
    </row>
    <row r="44" spans="2:10" x14ac:dyDescent="0.3">
      <c r="B44" s="35" t="s">
        <v>62</v>
      </c>
      <c r="C44" s="36"/>
      <c r="D44" s="6">
        <v>2800000</v>
      </c>
      <c r="E44" s="6">
        <f>+D44</f>
        <v>2800000</v>
      </c>
      <c r="F44" s="6">
        <v>2800000</v>
      </c>
      <c r="G44" s="7">
        <f t="shared" si="8"/>
        <v>8400000</v>
      </c>
      <c r="H44" s="6">
        <f>+G44+((-100000+180000)*3)</f>
        <v>8640000</v>
      </c>
    </row>
    <row r="45" spans="2:10" x14ac:dyDescent="0.3">
      <c r="B45" s="35" t="s">
        <v>33</v>
      </c>
      <c r="C45" s="36"/>
      <c r="D45" s="18">
        <f>SUM(D42:D44)</f>
        <v>3300000</v>
      </c>
      <c r="E45" s="18">
        <f t="shared" ref="E45:F45" si="9">SUM(E42:E44)</f>
        <v>3300000</v>
      </c>
      <c r="F45" s="18">
        <f t="shared" si="9"/>
        <v>3300000</v>
      </c>
      <c r="G45" s="20">
        <f t="shared" si="8"/>
        <v>9900000</v>
      </c>
      <c r="H45" s="7">
        <f>SUM(H42:H44)</f>
        <v>10140000</v>
      </c>
    </row>
    <row r="47" spans="2:10" x14ac:dyDescent="0.3">
      <c r="B47" s="1" t="s">
        <v>17</v>
      </c>
    </row>
    <row r="48" spans="2:10" x14ac:dyDescent="0.3">
      <c r="C48" s="37" t="s">
        <v>18</v>
      </c>
      <c r="D48" s="37"/>
      <c r="E48" s="37"/>
      <c r="F48" s="37"/>
    </row>
    <row r="49" spans="2:17" x14ac:dyDescent="0.3">
      <c r="C49" s="37"/>
      <c r="D49" s="37"/>
      <c r="E49" s="37"/>
      <c r="F49" s="37"/>
    </row>
    <row r="51" spans="2:17" x14ac:dyDescent="0.3">
      <c r="B51" s="11" t="s">
        <v>34</v>
      </c>
      <c r="C51" s="8" t="s">
        <v>10</v>
      </c>
      <c r="D51" s="8" t="s">
        <v>19</v>
      </c>
      <c r="H51" s="5" t="s">
        <v>38</v>
      </c>
      <c r="I51" s="12">
        <f>(-D55/(+G56-G34))</f>
        <v>790.97938144329919</v>
      </c>
      <c r="K51" s="11" t="s">
        <v>34</v>
      </c>
      <c r="L51" s="8" t="s">
        <v>10</v>
      </c>
      <c r="M51" s="8" t="s">
        <v>5</v>
      </c>
      <c r="N51" t="s">
        <v>40</v>
      </c>
      <c r="O51" s="15" t="s">
        <v>41</v>
      </c>
    </row>
    <row r="52" spans="2:17" x14ac:dyDescent="0.3">
      <c r="C52" s="5" t="s">
        <v>20</v>
      </c>
      <c r="D52" s="7">
        <f>+F7*G56</f>
        <v>298400000</v>
      </c>
      <c r="H52" s="5" t="s">
        <v>39</v>
      </c>
      <c r="I52" s="12">
        <f>(-D55/((1-(G34/G56))))</f>
        <v>152276288.65979385</v>
      </c>
      <c r="L52" s="5" t="s">
        <v>20</v>
      </c>
      <c r="M52" s="7">
        <v>15</v>
      </c>
      <c r="N52" s="17">
        <f>-Q56/M52</f>
        <v>2583.3333333333335</v>
      </c>
      <c r="O52" s="12">
        <f>+M52*N52</f>
        <v>38750</v>
      </c>
    </row>
    <row r="53" spans="2:17" x14ac:dyDescent="0.3">
      <c r="C53" s="5" t="s">
        <v>21</v>
      </c>
      <c r="D53" s="7">
        <f>-G35</f>
        <v>-279000000</v>
      </c>
      <c r="L53" s="5" t="s">
        <v>21</v>
      </c>
      <c r="M53" s="7">
        <v>15</v>
      </c>
      <c r="N53" s="10">
        <f>-G34</f>
        <v>-180000</v>
      </c>
      <c r="O53" s="12">
        <f>+M53*N53</f>
        <v>-2700000</v>
      </c>
    </row>
    <row r="54" spans="2:17" x14ac:dyDescent="0.3">
      <c r="C54" s="5" t="s">
        <v>22</v>
      </c>
      <c r="D54" s="7">
        <f>+D52+D53</f>
        <v>19400000</v>
      </c>
      <c r="L54" s="5" t="s">
        <v>22</v>
      </c>
      <c r="M54" s="7"/>
      <c r="O54" s="12">
        <f>+O52+O53</f>
        <v>-2661250</v>
      </c>
    </row>
    <row r="55" spans="2:17" x14ac:dyDescent="0.3">
      <c r="C55" s="5" t="s">
        <v>23</v>
      </c>
      <c r="D55" s="7">
        <f>-G45</f>
        <v>-9900000</v>
      </c>
      <c r="L55" s="5" t="s">
        <v>23</v>
      </c>
      <c r="M55" s="7">
        <f>-P45</f>
        <v>0</v>
      </c>
      <c r="O55" s="12">
        <f>-G45</f>
        <v>-9900000</v>
      </c>
    </row>
    <row r="56" spans="2:17" x14ac:dyDescent="0.3">
      <c r="C56" s="5" t="s">
        <v>24</v>
      </c>
      <c r="D56" s="7">
        <f>+D54+D55</f>
        <v>9500000</v>
      </c>
      <c r="F56">
        <v>298400000</v>
      </c>
      <c r="G56" s="31">
        <f>+F56/G20</f>
        <v>192516.12903225806</v>
      </c>
      <c r="H56" s="8" t="s">
        <v>48</v>
      </c>
      <c r="I56" s="8"/>
      <c r="J56" s="8"/>
      <c r="L56" s="5" t="s">
        <v>24</v>
      </c>
      <c r="M56" s="7">
        <f>+M54+M55</f>
        <v>0</v>
      </c>
      <c r="O56" s="12">
        <f>+O54+O55</f>
        <v>-12561250</v>
      </c>
      <c r="Q56" s="4">
        <f>-37800-950</f>
        <v>-38750</v>
      </c>
    </row>
    <row r="59" spans="2:17" x14ac:dyDescent="0.3">
      <c r="B59" s="11" t="s">
        <v>35</v>
      </c>
      <c r="C59" s="8" t="s">
        <v>10</v>
      </c>
      <c r="D59" s="8" t="s">
        <v>19</v>
      </c>
      <c r="K59" s="11" t="s">
        <v>35</v>
      </c>
      <c r="L59" s="8" t="s">
        <v>10</v>
      </c>
      <c r="M59" s="8" t="s">
        <v>5</v>
      </c>
      <c r="N59" t="s">
        <v>40</v>
      </c>
      <c r="O59" s="15" t="s">
        <v>41</v>
      </c>
    </row>
    <row r="60" spans="2:17" x14ac:dyDescent="0.3">
      <c r="C60" s="5" t="s">
        <v>20</v>
      </c>
      <c r="D60" s="7">
        <f>+F7*G64</f>
        <v>268560000</v>
      </c>
      <c r="L60" s="5" t="s">
        <v>20</v>
      </c>
      <c r="M60" s="7">
        <v>15</v>
      </c>
      <c r="N60" s="17">
        <f>+N52*(1-0.1)</f>
        <v>2325</v>
      </c>
      <c r="O60" s="12">
        <f>+M60*N60</f>
        <v>34875</v>
      </c>
    </row>
    <row r="61" spans="2:17" x14ac:dyDescent="0.3">
      <c r="C61" s="5" t="s">
        <v>21</v>
      </c>
      <c r="D61" s="7">
        <f>+D53</f>
        <v>-279000000</v>
      </c>
      <c r="L61" s="5" t="s">
        <v>21</v>
      </c>
      <c r="M61" s="7">
        <v>15</v>
      </c>
      <c r="N61" s="10">
        <f>+N53</f>
        <v>-180000</v>
      </c>
      <c r="O61" s="12">
        <f>+M61*N61</f>
        <v>-2700000</v>
      </c>
    </row>
    <row r="62" spans="2:17" x14ac:dyDescent="0.3">
      <c r="C62" s="5" t="s">
        <v>22</v>
      </c>
      <c r="D62" s="7">
        <f>+D60+D61</f>
        <v>-10440000</v>
      </c>
      <c r="L62" s="5" t="s">
        <v>22</v>
      </c>
      <c r="M62" s="7"/>
      <c r="O62" s="12">
        <f>+O60+O61</f>
        <v>-2665125</v>
      </c>
    </row>
    <row r="63" spans="2:17" x14ac:dyDescent="0.3">
      <c r="C63" s="5" t="s">
        <v>23</v>
      </c>
      <c r="D63" s="7">
        <f>+D55</f>
        <v>-9900000</v>
      </c>
      <c r="L63" s="5" t="s">
        <v>23</v>
      </c>
      <c r="M63" s="7">
        <f>-P53</f>
        <v>0</v>
      </c>
      <c r="O63" s="12">
        <f>-G45</f>
        <v>-9900000</v>
      </c>
    </row>
    <row r="64" spans="2:17" x14ac:dyDescent="0.3">
      <c r="C64" s="5" t="s">
        <v>24</v>
      </c>
      <c r="D64" s="7">
        <f>+D62+D63</f>
        <v>-20340000</v>
      </c>
      <c r="G64" s="31">
        <f>+G56*0.9</f>
        <v>173264.51612903227</v>
      </c>
      <c r="H64" s="8" t="s">
        <v>49</v>
      </c>
      <c r="I64" s="8"/>
      <c r="J64" s="8"/>
      <c r="L64" s="5" t="s">
        <v>24</v>
      </c>
      <c r="M64" s="7">
        <f>+M62+M63</f>
        <v>0</v>
      </c>
      <c r="O64" s="12">
        <f>+O62+O63</f>
        <v>-12565125</v>
      </c>
    </row>
    <row r="66" spans="2:15" x14ac:dyDescent="0.3">
      <c r="B66" s="11" t="s">
        <v>36</v>
      </c>
      <c r="C66" s="8" t="s">
        <v>10</v>
      </c>
      <c r="D66" s="8" t="s">
        <v>19</v>
      </c>
      <c r="K66" s="11" t="s">
        <v>36</v>
      </c>
      <c r="L66" s="8" t="s">
        <v>10</v>
      </c>
      <c r="M66" s="8" t="s">
        <v>5</v>
      </c>
      <c r="N66" t="s">
        <v>40</v>
      </c>
      <c r="O66" s="15" t="s">
        <v>41</v>
      </c>
    </row>
    <row r="67" spans="2:15" x14ac:dyDescent="0.3">
      <c r="C67" s="5" t="s">
        <v>20</v>
      </c>
      <c r="D67" s="7">
        <f>+F7*G67</f>
        <v>298400000</v>
      </c>
      <c r="G67" s="34">
        <f>+G56</f>
        <v>192516.12903225806</v>
      </c>
      <c r="L67" s="5" t="s">
        <v>20</v>
      </c>
      <c r="M67" s="7">
        <v>15</v>
      </c>
      <c r="N67" s="17">
        <f>+N52</f>
        <v>2583.3333333333335</v>
      </c>
      <c r="O67" s="16">
        <f>+M67*N67</f>
        <v>38750</v>
      </c>
    </row>
    <row r="68" spans="2:15" x14ac:dyDescent="0.3">
      <c r="C68" s="5" t="s">
        <v>21</v>
      </c>
      <c r="D68" s="7">
        <f>-H35</f>
        <v>-291400000</v>
      </c>
      <c r="L68" s="5" t="s">
        <v>21</v>
      </c>
      <c r="M68" s="7">
        <v>15</v>
      </c>
      <c r="N68" s="10">
        <f>-H34</f>
        <v>-188000</v>
      </c>
      <c r="O68" s="16">
        <f>+M68*N68</f>
        <v>-2820000</v>
      </c>
    </row>
    <row r="69" spans="2:15" x14ac:dyDescent="0.3">
      <c r="C69" s="5" t="s">
        <v>22</v>
      </c>
      <c r="D69" s="7">
        <f>+D67+D68</f>
        <v>7000000</v>
      </c>
      <c r="L69" s="5" t="s">
        <v>22</v>
      </c>
      <c r="M69" s="7"/>
      <c r="O69" s="7">
        <f>+O67+O68</f>
        <v>-2781250</v>
      </c>
    </row>
    <row r="70" spans="2:15" x14ac:dyDescent="0.3">
      <c r="C70" s="5" t="s">
        <v>23</v>
      </c>
      <c r="D70" s="7">
        <f>+D63</f>
        <v>-9900000</v>
      </c>
      <c r="L70" s="5" t="s">
        <v>23</v>
      </c>
      <c r="M70" s="7">
        <f>-P60</f>
        <v>0</v>
      </c>
      <c r="O70" s="7">
        <f>-G45</f>
        <v>-9900000</v>
      </c>
    </row>
    <row r="71" spans="2:15" x14ac:dyDescent="0.3">
      <c r="C71" s="5" t="s">
        <v>24</v>
      </c>
      <c r="D71" s="7">
        <f>+D69+D70</f>
        <v>-2900000</v>
      </c>
      <c r="L71" s="5" t="s">
        <v>24</v>
      </c>
      <c r="M71" s="7">
        <f>+M69+M70</f>
        <v>0</v>
      </c>
      <c r="O71" s="7">
        <f>+O69+O70</f>
        <v>-12681250</v>
      </c>
    </row>
    <row r="73" spans="2:15" x14ac:dyDescent="0.3">
      <c r="B73" s="11" t="s">
        <v>37</v>
      </c>
      <c r="C73" s="8" t="s">
        <v>10</v>
      </c>
      <c r="D73" s="8" t="s">
        <v>19</v>
      </c>
      <c r="G73" s="34">
        <f>+G67</f>
        <v>192516.12903225806</v>
      </c>
      <c r="K73" s="11">
        <v>4</v>
      </c>
      <c r="L73" s="8" t="s">
        <v>10</v>
      </c>
      <c r="M73" s="8" t="s">
        <v>5</v>
      </c>
      <c r="N73" t="s">
        <v>40</v>
      </c>
      <c r="O73" s="15" t="s">
        <v>41</v>
      </c>
    </row>
    <row r="74" spans="2:15" x14ac:dyDescent="0.3">
      <c r="C74" s="5" t="s">
        <v>20</v>
      </c>
      <c r="D74" s="7">
        <f>+D52</f>
        <v>298400000</v>
      </c>
      <c r="L74" s="5" t="s">
        <v>20</v>
      </c>
      <c r="M74" s="7">
        <v>15500</v>
      </c>
      <c r="N74" s="17">
        <f>+G56</f>
        <v>192516.12903225806</v>
      </c>
      <c r="O74" s="16">
        <f>+M74*N74</f>
        <v>2984000000</v>
      </c>
    </row>
    <row r="75" spans="2:15" x14ac:dyDescent="0.3">
      <c r="C75" s="5" t="s">
        <v>21</v>
      </c>
      <c r="D75" s="7">
        <f>-I35</f>
        <v>-255750000</v>
      </c>
      <c r="L75" s="5" t="s">
        <v>21</v>
      </c>
      <c r="M75" s="7">
        <v>15500</v>
      </c>
      <c r="N75" s="10">
        <f>-I34</f>
        <v>-165000</v>
      </c>
      <c r="O75" s="16">
        <f>+M75*N75</f>
        <v>-2557500000</v>
      </c>
    </row>
    <row r="76" spans="2:15" x14ac:dyDescent="0.3">
      <c r="C76" s="5" t="s">
        <v>22</v>
      </c>
      <c r="D76" s="7">
        <f>+D74+D75</f>
        <v>42650000</v>
      </c>
      <c r="L76" s="5" t="s">
        <v>22</v>
      </c>
      <c r="M76" s="7">
        <f>+M74+M75</f>
        <v>31000</v>
      </c>
      <c r="O76" s="7">
        <f>+O74+O75</f>
        <v>426500000</v>
      </c>
    </row>
    <row r="77" spans="2:15" x14ac:dyDescent="0.3">
      <c r="C77" s="5" t="s">
        <v>23</v>
      </c>
      <c r="D77" s="7">
        <f>-H45</f>
        <v>-10140000</v>
      </c>
      <c r="L77" s="5" t="s">
        <v>23</v>
      </c>
      <c r="M77" s="7">
        <f>-P67</f>
        <v>0</v>
      </c>
      <c r="O77" s="7">
        <f>-H45</f>
        <v>-10140000</v>
      </c>
    </row>
    <row r="78" spans="2:15" x14ac:dyDescent="0.3">
      <c r="C78" s="5" t="s">
        <v>24</v>
      </c>
      <c r="D78" s="7">
        <f>+D76+D77</f>
        <v>32510000</v>
      </c>
      <c r="L78" s="5" t="s">
        <v>24</v>
      </c>
      <c r="M78" s="7">
        <f>+M76+M77</f>
        <v>31000</v>
      </c>
      <c r="O78" s="7">
        <f>+O76+O77</f>
        <v>416360000</v>
      </c>
    </row>
    <row r="79" spans="2:15" ht="15" thickBot="1" x14ac:dyDescent="0.35"/>
    <row r="80" spans="2:15" x14ac:dyDescent="0.3">
      <c r="B80" s="11" t="s">
        <v>56</v>
      </c>
      <c r="C80" s="38" t="s">
        <v>57</v>
      </c>
      <c r="D80" s="39"/>
    </row>
    <row r="81" spans="3:4" x14ac:dyDescent="0.3">
      <c r="C81" s="26" t="s">
        <v>38</v>
      </c>
      <c r="D81" s="27">
        <f>(-D55/(G56-G34))</f>
        <v>790.97938144329919</v>
      </c>
    </row>
    <row r="82" spans="3:4" ht="15" thickBot="1" x14ac:dyDescent="0.35">
      <c r="C82" s="28" t="s">
        <v>39</v>
      </c>
      <c r="D82" s="29">
        <f>(-D55/(1-(G34/G56)))</f>
        <v>152276288.65979385</v>
      </c>
    </row>
    <row r="83" spans="3:4" ht="15" thickBot="1" x14ac:dyDescent="0.35"/>
    <row r="84" spans="3:4" x14ac:dyDescent="0.3">
      <c r="C84" s="40" t="s">
        <v>55</v>
      </c>
      <c r="D84" s="41"/>
    </row>
    <row r="85" spans="3:4" x14ac:dyDescent="0.3">
      <c r="C85" s="26" t="s">
        <v>38</v>
      </c>
      <c r="D85" s="27">
        <f>(-D77/(G73-I34))</f>
        <v>368.51113716295436</v>
      </c>
    </row>
    <row r="86" spans="3:4" ht="15" thickBot="1" x14ac:dyDescent="0.35">
      <c r="C86" s="28" t="s">
        <v>39</v>
      </c>
      <c r="D86" s="29">
        <f>(-D77/(1-(I34/G73)))</f>
        <v>70944337.631887481</v>
      </c>
    </row>
  </sheetData>
  <mergeCells count="16">
    <mergeCell ref="B45:C45"/>
    <mergeCell ref="C48:F49"/>
    <mergeCell ref="C80:D80"/>
    <mergeCell ref="C84:D84"/>
    <mergeCell ref="B21:C21"/>
    <mergeCell ref="C25:F26"/>
    <mergeCell ref="C38:F39"/>
    <mergeCell ref="B41:C41"/>
    <mergeCell ref="B42:C42"/>
    <mergeCell ref="B44:C44"/>
    <mergeCell ref="B20:C20"/>
    <mergeCell ref="C3:F4"/>
    <mergeCell ref="C12:F15"/>
    <mergeCell ref="B17:C17"/>
    <mergeCell ref="B18:C18"/>
    <mergeCell ref="B19:C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AC35-270E-4033-AC4F-D2B1A326E43E}">
  <dimension ref="B2:Q86"/>
  <sheetViews>
    <sheetView topLeftCell="B1" workbookViewId="0">
      <selection activeCell="B1" sqref="A1:XFD1048576"/>
    </sheetView>
  </sheetViews>
  <sheetFormatPr baseColWidth="10" defaultRowHeight="14.4" x14ac:dyDescent="0.3"/>
  <cols>
    <col min="1" max="1" width="0.88671875" customWidth="1"/>
    <col min="2" max="2" width="40.5546875" customWidth="1"/>
    <col min="3" max="3" width="19.77734375" customWidth="1"/>
    <col min="4" max="4" width="14.5546875" customWidth="1"/>
    <col min="5" max="5" width="15.109375" customWidth="1"/>
    <col min="6" max="6" width="15" customWidth="1"/>
    <col min="7" max="7" width="14.21875" customWidth="1"/>
    <col min="8" max="8" width="19.21875" customWidth="1"/>
    <col min="9" max="9" width="14.88671875" customWidth="1"/>
    <col min="10" max="10" width="13.109375" customWidth="1"/>
    <col min="12" max="12" width="17.109375" bestFit="1" customWidth="1"/>
    <col min="15" max="15" width="14.44140625" customWidth="1"/>
  </cols>
  <sheetData>
    <row r="2" spans="2:7" x14ac:dyDescent="0.3">
      <c r="B2" s="1" t="s">
        <v>0</v>
      </c>
    </row>
    <row r="3" spans="2:7" ht="14.4" customHeight="1" x14ac:dyDescent="0.3">
      <c r="C3" s="42" t="s">
        <v>1</v>
      </c>
      <c r="D3" s="42"/>
      <c r="E3" s="42"/>
      <c r="F3" s="42"/>
      <c r="G3" s="2"/>
    </row>
    <row r="4" spans="2:7" x14ac:dyDescent="0.3">
      <c r="C4" s="42"/>
      <c r="D4" s="42"/>
      <c r="E4" s="42"/>
      <c r="F4" s="42"/>
      <c r="G4" s="2"/>
    </row>
    <row r="5" spans="2:7" x14ac:dyDescent="0.3">
      <c r="C5" s="2"/>
      <c r="D5" s="2"/>
      <c r="E5" s="2"/>
      <c r="F5" s="2"/>
      <c r="G5" s="2"/>
    </row>
    <row r="6" spans="2:7" x14ac:dyDescent="0.3">
      <c r="B6" s="5"/>
      <c r="C6" s="5" t="s">
        <v>2</v>
      </c>
      <c r="D6" s="5" t="s">
        <v>3</v>
      </c>
      <c r="E6" s="5" t="s">
        <v>4</v>
      </c>
      <c r="F6" s="5" t="s">
        <v>45</v>
      </c>
    </row>
    <row r="7" spans="2:7" x14ac:dyDescent="0.3">
      <c r="B7" s="5" t="s">
        <v>5</v>
      </c>
      <c r="C7" s="6">
        <v>50</v>
      </c>
      <c r="D7" s="6">
        <v>45</v>
      </c>
      <c r="E7" s="6">
        <v>60</v>
      </c>
      <c r="F7" s="7">
        <f>SUM(C7:E7)</f>
        <v>155</v>
      </c>
    </row>
    <row r="8" spans="2:7" x14ac:dyDescent="0.3">
      <c r="B8" s="5" t="s">
        <v>7</v>
      </c>
      <c r="C8" s="6">
        <v>0</v>
      </c>
      <c r="D8" s="6">
        <v>0</v>
      </c>
      <c r="E8" s="6">
        <v>0</v>
      </c>
      <c r="F8" s="7">
        <f t="shared" ref="F8:F9" si="0">SUM(C8:E8)</f>
        <v>0</v>
      </c>
    </row>
    <row r="9" spans="2:7" x14ac:dyDescent="0.3">
      <c r="B9" s="5" t="s">
        <v>6</v>
      </c>
      <c r="C9" s="6">
        <f>+C7*C8</f>
        <v>0</v>
      </c>
      <c r="D9" s="6">
        <f t="shared" ref="D9:E9" si="1">+D7*D8</f>
        <v>0</v>
      </c>
      <c r="E9" s="6">
        <f t="shared" si="1"/>
        <v>0</v>
      </c>
      <c r="F9" s="7">
        <f t="shared" si="0"/>
        <v>0</v>
      </c>
    </row>
    <row r="10" spans="2:7" x14ac:dyDescent="0.3">
      <c r="C10" s="3"/>
      <c r="D10" s="3"/>
      <c r="E10" s="3"/>
    </row>
    <row r="11" spans="2:7" x14ac:dyDescent="0.3">
      <c r="B11" s="1" t="s">
        <v>9</v>
      </c>
      <c r="C11" s="3"/>
      <c r="D11" s="3"/>
      <c r="E11" s="3"/>
    </row>
    <row r="12" spans="2:7" ht="14.4" customHeight="1" x14ac:dyDescent="0.3">
      <c r="C12" s="42" t="s">
        <v>42</v>
      </c>
      <c r="D12" s="42"/>
      <c r="E12" s="42"/>
      <c r="F12" s="42"/>
    </row>
    <row r="13" spans="2:7" x14ac:dyDescent="0.3">
      <c r="C13" s="42"/>
      <c r="D13" s="42"/>
      <c r="E13" s="42"/>
      <c r="F13" s="42"/>
    </row>
    <row r="14" spans="2:7" x14ac:dyDescent="0.3">
      <c r="C14" s="42"/>
      <c r="D14" s="42"/>
      <c r="E14" s="42"/>
      <c r="F14" s="42"/>
    </row>
    <row r="15" spans="2:7" x14ac:dyDescent="0.3">
      <c r="C15" s="42"/>
      <c r="D15" s="42"/>
      <c r="E15" s="42"/>
      <c r="F15" s="42"/>
    </row>
    <row r="16" spans="2:7" x14ac:dyDescent="0.3">
      <c r="C16" s="3"/>
      <c r="D16" s="3"/>
      <c r="E16" s="3"/>
    </row>
    <row r="17" spans="2:10" x14ac:dyDescent="0.3">
      <c r="B17" s="42" t="s">
        <v>10</v>
      </c>
      <c r="C17" s="42"/>
      <c r="D17" s="6" t="s">
        <v>2</v>
      </c>
      <c r="E17" s="6" t="s">
        <v>3</v>
      </c>
      <c r="F17" s="6" t="s">
        <v>4</v>
      </c>
      <c r="G17" s="24" t="s">
        <v>45</v>
      </c>
    </row>
    <row r="18" spans="2:10" x14ac:dyDescent="0.3">
      <c r="B18" s="42" t="s">
        <v>11</v>
      </c>
      <c r="C18" s="42"/>
      <c r="D18" s="6">
        <f>+C7</f>
        <v>50</v>
      </c>
      <c r="E18" s="6">
        <f>+D7</f>
        <v>45</v>
      </c>
      <c r="F18" s="6">
        <f>+E7</f>
        <v>60</v>
      </c>
      <c r="G18" s="7">
        <f>SUM(D18:F18)</f>
        <v>155</v>
      </c>
    </row>
    <row r="19" spans="2:10" x14ac:dyDescent="0.3">
      <c r="B19" s="42" t="s">
        <v>12</v>
      </c>
      <c r="C19" s="42"/>
      <c r="D19" s="6">
        <v>0</v>
      </c>
      <c r="E19" s="6">
        <v>0</v>
      </c>
      <c r="F19" s="6">
        <v>0</v>
      </c>
      <c r="G19" s="7">
        <f t="shared" ref="G19:G21" si="2">SUM(D19:F19)</f>
        <v>0</v>
      </c>
    </row>
    <row r="20" spans="2:10" x14ac:dyDescent="0.3">
      <c r="B20" s="42" t="s">
        <v>43</v>
      </c>
      <c r="C20" s="42"/>
      <c r="D20" s="6">
        <f>SUM(D18:D19)</f>
        <v>50</v>
      </c>
      <c r="E20" s="6">
        <f t="shared" ref="E20:F20" si="3">SUM(E18:E19)</f>
        <v>45</v>
      </c>
      <c r="F20" s="6">
        <f t="shared" si="3"/>
        <v>60</v>
      </c>
      <c r="G20" s="7">
        <f t="shared" si="2"/>
        <v>155</v>
      </c>
    </row>
    <row r="21" spans="2:10" x14ac:dyDescent="0.3">
      <c r="B21" s="42" t="s">
        <v>13</v>
      </c>
      <c r="C21" s="42"/>
      <c r="D21" s="6">
        <v>0</v>
      </c>
      <c r="E21" s="6">
        <v>0</v>
      </c>
      <c r="F21" s="6">
        <v>0</v>
      </c>
      <c r="G21" s="7">
        <f t="shared" si="2"/>
        <v>0</v>
      </c>
    </row>
    <row r="24" spans="2:10" x14ac:dyDescent="0.3">
      <c r="B24" s="1" t="s">
        <v>27</v>
      </c>
    </row>
    <row r="25" spans="2:10" x14ac:dyDescent="0.3">
      <c r="C25" s="37" t="s">
        <v>14</v>
      </c>
      <c r="D25" s="37"/>
      <c r="E25" s="37"/>
      <c r="F25" s="37"/>
    </row>
    <row r="26" spans="2:10" x14ac:dyDescent="0.3">
      <c r="C26" s="37"/>
      <c r="D26" s="37"/>
      <c r="E26" s="37"/>
      <c r="F26" s="37"/>
    </row>
    <row r="28" spans="2:10" x14ac:dyDescent="0.3">
      <c r="B28" s="8" t="s">
        <v>25</v>
      </c>
      <c r="C28" s="5"/>
      <c r="D28" s="7" t="str">
        <f>+D17</f>
        <v>Enero</v>
      </c>
      <c r="E28" s="7" t="str">
        <f>+E17</f>
        <v>Febrero</v>
      </c>
      <c r="F28" s="7" t="str">
        <f>+F17</f>
        <v>Marzo</v>
      </c>
      <c r="G28" s="15" t="s">
        <v>45</v>
      </c>
      <c r="H28" s="5" t="s">
        <v>50</v>
      </c>
      <c r="I28" s="5" t="s">
        <v>51</v>
      </c>
    </row>
    <row r="29" spans="2:10" x14ac:dyDescent="0.3">
      <c r="B29" s="5" t="s">
        <v>15</v>
      </c>
      <c r="C29" s="5"/>
      <c r="D29" s="6">
        <f>+D20</f>
        <v>50</v>
      </c>
      <c r="E29" s="6">
        <f>+E20</f>
        <v>45</v>
      </c>
      <c r="F29" s="6">
        <f>+F20</f>
        <v>60</v>
      </c>
      <c r="G29" s="21">
        <f>SUM(D29:F29)</f>
        <v>155</v>
      </c>
      <c r="H29" s="7">
        <f>+G29</f>
        <v>155</v>
      </c>
      <c r="I29" s="7">
        <f>+H29</f>
        <v>155</v>
      </c>
    </row>
    <row r="30" spans="2:10" x14ac:dyDescent="0.3">
      <c r="B30" s="5"/>
      <c r="C30" s="5"/>
      <c r="D30" s="6"/>
      <c r="E30" s="6"/>
      <c r="F30" s="6"/>
      <c r="G30" s="15"/>
      <c r="H30" s="5"/>
      <c r="I30" s="5"/>
    </row>
    <row r="31" spans="2:10" x14ac:dyDescent="0.3">
      <c r="B31" s="5" t="s">
        <v>63</v>
      </c>
      <c r="C31" s="5" t="s">
        <v>52</v>
      </c>
      <c r="D31" s="9">
        <v>80000</v>
      </c>
      <c r="E31" s="9">
        <f>+D31</f>
        <v>80000</v>
      </c>
      <c r="F31" s="9">
        <f>+E31</f>
        <v>80000</v>
      </c>
      <c r="G31" s="22">
        <f>+F31</f>
        <v>80000</v>
      </c>
      <c r="H31" s="9">
        <f>+G31*1.1</f>
        <v>88000</v>
      </c>
      <c r="I31" s="19">
        <f>+F31</f>
        <v>80000</v>
      </c>
    </row>
    <row r="32" spans="2:10" x14ac:dyDescent="0.3">
      <c r="B32" s="5" t="s">
        <v>64</v>
      </c>
      <c r="C32" s="5" t="s">
        <v>53</v>
      </c>
      <c r="D32" s="9">
        <v>60000</v>
      </c>
      <c r="E32" s="9">
        <f t="shared" ref="E32:F33" si="4">+D32</f>
        <v>60000</v>
      </c>
      <c r="F32" s="9">
        <f t="shared" si="4"/>
        <v>60000</v>
      </c>
      <c r="G32" s="22">
        <f>+F32</f>
        <v>60000</v>
      </c>
      <c r="H32" s="19">
        <f>+G32</f>
        <v>60000</v>
      </c>
      <c r="I32" s="25">
        <v>45000</v>
      </c>
      <c r="J32" s="10"/>
    </row>
    <row r="33" spans="2:10" x14ac:dyDescent="0.3">
      <c r="B33" s="5" t="s">
        <v>65</v>
      </c>
      <c r="C33" s="5" t="s">
        <v>29</v>
      </c>
      <c r="D33" s="9">
        <v>40000</v>
      </c>
      <c r="E33" s="9">
        <f t="shared" si="4"/>
        <v>40000</v>
      </c>
      <c r="F33" s="9">
        <f t="shared" si="4"/>
        <v>40000</v>
      </c>
      <c r="G33" s="22">
        <f>+F33</f>
        <v>40000</v>
      </c>
      <c r="H33" s="19">
        <f>+G33</f>
        <v>40000</v>
      </c>
      <c r="I33" s="25">
        <f>+H33</f>
        <v>40000</v>
      </c>
      <c r="J33" s="10"/>
    </row>
    <row r="34" spans="2:10" x14ac:dyDescent="0.3">
      <c r="B34" s="5"/>
      <c r="C34" s="5"/>
      <c r="D34" s="9">
        <f>SUM(D31:D33)</f>
        <v>180000</v>
      </c>
      <c r="E34" s="9">
        <f t="shared" ref="E34:F34" si="5">SUM(E31:E33)</f>
        <v>180000</v>
      </c>
      <c r="F34" s="9">
        <f t="shared" si="5"/>
        <v>180000</v>
      </c>
      <c r="G34" s="22">
        <f>SUM(G31:G33)</f>
        <v>180000</v>
      </c>
      <c r="H34" s="25">
        <f>SUM(H31:H33)</f>
        <v>188000</v>
      </c>
      <c r="I34" s="19">
        <f>SUM(I31:I33)</f>
        <v>165000</v>
      </c>
      <c r="J34" s="10"/>
    </row>
    <row r="35" spans="2:10" x14ac:dyDescent="0.3">
      <c r="B35" s="5" t="s">
        <v>44</v>
      </c>
      <c r="C35" s="5"/>
      <c r="D35" s="31">
        <f>+D29*D34</f>
        <v>9000000</v>
      </c>
      <c r="E35" s="31">
        <f>+E29*E34</f>
        <v>8100000</v>
      </c>
      <c r="F35" s="31">
        <f t="shared" ref="F35" si="6">+F29*F34</f>
        <v>10800000</v>
      </c>
      <c r="G35" s="32">
        <f>SUM(D35:F35)</f>
        <v>27900000</v>
      </c>
      <c r="H35" s="19">
        <f>+H29*H34</f>
        <v>29140000</v>
      </c>
      <c r="I35" s="19">
        <f>+I29*I34</f>
        <v>25575000</v>
      </c>
    </row>
    <row r="37" spans="2:10" x14ac:dyDescent="0.3">
      <c r="B37" s="1" t="s">
        <v>30</v>
      </c>
    </row>
    <row r="38" spans="2:10" x14ac:dyDescent="0.3">
      <c r="C38" s="37" t="s">
        <v>16</v>
      </c>
      <c r="D38" s="37"/>
      <c r="E38" s="37"/>
      <c r="F38" s="37"/>
    </row>
    <row r="39" spans="2:10" x14ac:dyDescent="0.3">
      <c r="C39" s="37"/>
      <c r="D39" s="37"/>
      <c r="E39" s="37"/>
      <c r="F39" s="37"/>
    </row>
    <row r="41" spans="2:10" x14ac:dyDescent="0.3">
      <c r="B41" s="35" t="s">
        <v>10</v>
      </c>
      <c r="C41" s="36"/>
      <c r="D41" s="6" t="s">
        <v>2</v>
      </c>
      <c r="E41" s="6" t="s">
        <v>3</v>
      </c>
      <c r="F41" s="6" t="s">
        <v>4</v>
      </c>
      <c r="G41" s="24" t="s">
        <v>47</v>
      </c>
      <c r="H41" s="24" t="s">
        <v>54</v>
      </c>
    </row>
    <row r="42" spans="2:10" x14ac:dyDescent="0.3">
      <c r="B42" s="35" t="s">
        <v>66</v>
      </c>
      <c r="C42" s="36"/>
      <c r="D42" s="6">
        <v>500000</v>
      </c>
      <c r="E42" s="6">
        <f>+D42</f>
        <v>500000</v>
      </c>
      <c r="F42" s="6">
        <f>+E42</f>
        <v>500000</v>
      </c>
      <c r="G42" s="7">
        <f>SUM(D42:F42)</f>
        <v>1500000</v>
      </c>
      <c r="H42" s="7">
        <f>+G42</f>
        <v>1500000</v>
      </c>
    </row>
    <row r="43" spans="2:10" x14ac:dyDescent="0.3">
      <c r="B43" s="13" t="s">
        <v>46</v>
      </c>
      <c r="C43" s="14"/>
      <c r="D43" s="6">
        <v>0</v>
      </c>
      <c r="E43" s="6">
        <v>0</v>
      </c>
      <c r="F43" s="6">
        <v>0</v>
      </c>
      <c r="G43" s="7">
        <f t="shared" ref="G43:G45" si="7">SUM(D43:F43)</f>
        <v>0</v>
      </c>
      <c r="H43" s="5"/>
    </row>
    <row r="44" spans="2:10" x14ac:dyDescent="0.3">
      <c r="B44" s="35" t="s">
        <v>62</v>
      </c>
      <c r="C44" s="36"/>
      <c r="D44" s="6">
        <v>2800000</v>
      </c>
      <c r="E44" s="6">
        <f>+D44</f>
        <v>2800000</v>
      </c>
      <c r="F44" s="6">
        <v>2800000</v>
      </c>
      <c r="G44" s="7">
        <f t="shared" si="7"/>
        <v>8400000</v>
      </c>
      <c r="H44" s="6">
        <f>+G44+((-100000+180000)*3)</f>
        <v>8640000</v>
      </c>
    </row>
    <row r="45" spans="2:10" x14ac:dyDescent="0.3">
      <c r="B45" s="35" t="s">
        <v>33</v>
      </c>
      <c r="C45" s="36"/>
      <c r="D45" s="18">
        <f>SUM(D42:D44)</f>
        <v>3300000</v>
      </c>
      <c r="E45" s="18">
        <f t="shared" ref="E45:F45" si="8">SUM(E42:E44)</f>
        <v>3300000</v>
      </c>
      <c r="F45" s="18">
        <f t="shared" si="8"/>
        <v>3300000</v>
      </c>
      <c r="G45" s="20">
        <f t="shared" si="7"/>
        <v>9900000</v>
      </c>
      <c r="H45" s="7">
        <f>SUM(H42:H44)</f>
        <v>10140000</v>
      </c>
    </row>
    <row r="47" spans="2:10" x14ac:dyDescent="0.3">
      <c r="B47" s="1" t="s">
        <v>17</v>
      </c>
    </row>
    <row r="48" spans="2:10" x14ac:dyDescent="0.3">
      <c r="C48" s="37" t="s">
        <v>18</v>
      </c>
      <c r="D48" s="37"/>
      <c r="E48" s="37"/>
      <c r="F48" s="37"/>
    </row>
    <row r="49" spans="2:17" x14ac:dyDescent="0.3">
      <c r="C49" s="37"/>
      <c r="D49" s="37"/>
      <c r="E49" s="37"/>
      <c r="F49" s="37"/>
    </row>
    <row r="51" spans="2:17" x14ac:dyDescent="0.3">
      <c r="B51" s="11" t="s">
        <v>34</v>
      </c>
      <c r="C51" s="8" t="s">
        <v>10</v>
      </c>
      <c r="D51" s="8" t="s">
        <v>19</v>
      </c>
      <c r="H51" s="5" t="s">
        <v>38</v>
      </c>
      <c r="I51" s="12">
        <f>(-D55/(+G56-G34))</f>
        <v>79.097938144329888</v>
      </c>
      <c r="K51" s="11" t="s">
        <v>34</v>
      </c>
      <c r="L51" s="8" t="s">
        <v>10</v>
      </c>
      <c r="M51" s="8" t="s">
        <v>5</v>
      </c>
      <c r="N51" t="s">
        <v>40</v>
      </c>
      <c r="O51" s="15" t="s">
        <v>41</v>
      </c>
    </row>
    <row r="52" spans="2:17" x14ac:dyDescent="0.3">
      <c r="C52" s="5" t="s">
        <v>20</v>
      </c>
      <c r="D52" s="7">
        <f>+F7*G56</f>
        <v>47300000</v>
      </c>
      <c r="H52" s="5" t="s">
        <v>39</v>
      </c>
      <c r="I52" s="12">
        <f>(-D55/((1-(G34/G56))))</f>
        <v>24137628.865979377</v>
      </c>
      <c r="L52" s="5" t="s">
        <v>20</v>
      </c>
      <c r="M52" s="7">
        <v>15</v>
      </c>
      <c r="N52" s="17">
        <f>-Q56/M52</f>
        <v>2583.3333333333335</v>
      </c>
      <c r="O52" s="12">
        <f>+M52*N52</f>
        <v>38750</v>
      </c>
    </row>
    <row r="53" spans="2:17" x14ac:dyDescent="0.3">
      <c r="C53" s="5" t="s">
        <v>21</v>
      </c>
      <c r="D53" s="7">
        <f>-G35</f>
        <v>-27900000</v>
      </c>
      <c r="L53" s="5" t="s">
        <v>21</v>
      </c>
      <c r="M53" s="7">
        <v>15</v>
      </c>
      <c r="N53" s="10">
        <f>-G34</f>
        <v>-180000</v>
      </c>
      <c r="O53" s="12">
        <f>+M53*N53</f>
        <v>-2700000</v>
      </c>
    </row>
    <row r="54" spans="2:17" x14ac:dyDescent="0.3">
      <c r="C54" s="5" t="s">
        <v>22</v>
      </c>
      <c r="D54" s="7">
        <f>+D52+D53</f>
        <v>19400000</v>
      </c>
      <c r="L54" s="5" t="s">
        <v>22</v>
      </c>
      <c r="M54" s="7"/>
      <c r="O54" s="12">
        <f>+O52+O53</f>
        <v>-2661250</v>
      </c>
    </row>
    <row r="55" spans="2:17" x14ac:dyDescent="0.3">
      <c r="C55" s="5" t="s">
        <v>23</v>
      </c>
      <c r="D55" s="7">
        <f>-G45</f>
        <v>-9900000</v>
      </c>
      <c r="L55" s="5" t="s">
        <v>23</v>
      </c>
      <c r="M55" s="7">
        <f>-P45</f>
        <v>0</v>
      </c>
      <c r="O55" s="12">
        <f>-G45</f>
        <v>-9900000</v>
      </c>
    </row>
    <row r="56" spans="2:17" x14ac:dyDescent="0.3">
      <c r="C56" s="5" t="s">
        <v>24</v>
      </c>
      <c r="D56" s="7">
        <f>+D54+D55</f>
        <v>9500000</v>
      </c>
      <c r="F56">
        <v>47300000</v>
      </c>
      <c r="G56" s="31">
        <f>+F56/G20</f>
        <v>305161.29032258067</v>
      </c>
      <c r="H56" s="8" t="s">
        <v>48</v>
      </c>
      <c r="I56" s="8"/>
      <c r="J56" s="8"/>
      <c r="L56" s="5" t="s">
        <v>24</v>
      </c>
      <c r="M56" s="7">
        <f>+M54+M55</f>
        <v>0</v>
      </c>
      <c r="O56" s="12">
        <f>+O54+O55</f>
        <v>-12561250</v>
      </c>
      <c r="Q56" s="4">
        <f>-37800-950</f>
        <v>-38750</v>
      </c>
    </row>
    <row r="59" spans="2:17" x14ac:dyDescent="0.3">
      <c r="B59" s="11" t="s">
        <v>35</v>
      </c>
      <c r="C59" s="8" t="s">
        <v>10</v>
      </c>
      <c r="D59" s="8" t="s">
        <v>19</v>
      </c>
      <c r="K59" s="11" t="s">
        <v>35</v>
      </c>
      <c r="L59" s="8" t="s">
        <v>10</v>
      </c>
      <c r="M59" s="8" t="s">
        <v>5</v>
      </c>
      <c r="N59" t="s">
        <v>40</v>
      </c>
      <c r="O59" s="15" t="s">
        <v>41</v>
      </c>
    </row>
    <row r="60" spans="2:17" x14ac:dyDescent="0.3">
      <c r="C60" s="5" t="s">
        <v>20</v>
      </c>
      <c r="D60" s="7">
        <f>+F7*G64</f>
        <v>42570000.000000007</v>
      </c>
      <c r="L60" s="5" t="s">
        <v>20</v>
      </c>
      <c r="M60" s="7">
        <v>15</v>
      </c>
      <c r="N60" s="17">
        <f>+N52*(1-0.1)</f>
        <v>2325</v>
      </c>
      <c r="O60" s="12">
        <f>+M60*N60</f>
        <v>34875</v>
      </c>
    </row>
    <row r="61" spans="2:17" x14ac:dyDescent="0.3">
      <c r="C61" s="5" t="s">
        <v>21</v>
      </c>
      <c r="D61" s="7">
        <f>+D53</f>
        <v>-27900000</v>
      </c>
      <c r="L61" s="5" t="s">
        <v>21</v>
      </c>
      <c r="M61" s="7">
        <v>15</v>
      </c>
      <c r="N61" s="10">
        <f>+N53</f>
        <v>-180000</v>
      </c>
      <c r="O61" s="12">
        <f>+M61*N61</f>
        <v>-2700000</v>
      </c>
    </row>
    <row r="62" spans="2:17" x14ac:dyDescent="0.3">
      <c r="C62" s="5" t="s">
        <v>22</v>
      </c>
      <c r="D62" s="7">
        <f>+D60+D61</f>
        <v>14670000.000000007</v>
      </c>
      <c r="L62" s="5" t="s">
        <v>22</v>
      </c>
      <c r="M62" s="7"/>
      <c r="O62" s="12">
        <f>+O60+O61</f>
        <v>-2665125</v>
      </c>
    </row>
    <row r="63" spans="2:17" x14ac:dyDescent="0.3">
      <c r="C63" s="5" t="s">
        <v>23</v>
      </c>
      <c r="D63" s="7">
        <f>+D55</f>
        <v>-9900000</v>
      </c>
      <c r="L63" s="5" t="s">
        <v>23</v>
      </c>
      <c r="M63" s="7">
        <f>-P53</f>
        <v>0</v>
      </c>
      <c r="O63" s="12">
        <f>-G45</f>
        <v>-9900000</v>
      </c>
    </row>
    <row r="64" spans="2:17" x14ac:dyDescent="0.3">
      <c r="C64" s="5" t="s">
        <v>24</v>
      </c>
      <c r="D64" s="7">
        <f>+D62+D63</f>
        <v>4770000.0000000075</v>
      </c>
      <c r="G64" s="31">
        <f>+G56*0.9</f>
        <v>274645.16129032261</v>
      </c>
      <c r="H64" s="8" t="s">
        <v>49</v>
      </c>
      <c r="I64" s="8"/>
      <c r="J64" s="8"/>
      <c r="L64" s="5" t="s">
        <v>24</v>
      </c>
      <c r="M64" s="7">
        <f>+M62+M63</f>
        <v>0</v>
      </c>
      <c r="O64" s="12">
        <f>+O62+O63</f>
        <v>-12565125</v>
      </c>
    </row>
    <row r="66" spans="2:15" x14ac:dyDescent="0.3">
      <c r="B66" s="11" t="s">
        <v>36</v>
      </c>
      <c r="C66" s="8" t="s">
        <v>10</v>
      </c>
      <c r="D66" s="8" t="s">
        <v>19</v>
      </c>
      <c r="K66" s="11" t="s">
        <v>36</v>
      </c>
      <c r="L66" s="8" t="s">
        <v>10</v>
      </c>
      <c r="M66" s="8" t="s">
        <v>5</v>
      </c>
      <c r="N66" t="s">
        <v>40</v>
      </c>
      <c r="O66" s="15" t="s">
        <v>41</v>
      </c>
    </row>
    <row r="67" spans="2:15" x14ac:dyDescent="0.3">
      <c r="C67" s="5" t="s">
        <v>20</v>
      </c>
      <c r="D67" s="7">
        <f>+F7*G67</f>
        <v>47300000</v>
      </c>
      <c r="G67" s="34">
        <f>+G56</f>
        <v>305161.29032258067</v>
      </c>
      <c r="L67" s="5" t="s">
        <v>20</v>
      </c>
      <c r="M67" s="7">
        <v>15</v>
      </c>
      <c r="N67" s="17">
        <f>+N52</f>
        <v>2583.3333333333335</v>
      </c>
      <c r="O67" s="16">
        <f>+M67*N67</f>
        <v>38750</v>
      </c>
    </row>
    <row r="68" spans="2:15" x14ac:dyDescent="0.3">
      <c r="C68" s="5" t="s">
        <v>21</v>
      </c>
      <c r="D68" s="7">
        <f>-H35</f>
        <v>-29140000</v>
      </c>
      <c r="L68" s="5" t="s">
        <v>21</v>
      </c>
      <c r="M68" s="7">
        <v>15</v>
      </c>
      <c r="N68" s="10">
        <f>-H34</f>
        <v>-188000</v>
      </c>
      <c r="O68" s="16">
        <f>+M68*N68</f>
        <v>-2820000</v>
      </c>
    </row>
    <row r="69" spans="2:15" x14ac:dyDescent="0.3">
      <c r="C69" s="5" t="s">
        <v>22</v>
      </c>
      <c r="D69" s="7">
        <f>+D67+D68</f>
        <v>18160000</v>
      </c>
      <c r="L69" s="5" t="s">
        <v>22</v>
      </c>
      <c r="M69" s="7"/>
      <c r="O69" s="7">
        <f>+O67+O68</f>
        <v>-2781250</v>
      </c>
    </row>
    <row r="70" spans="2:15" x14ac:dyDescent="0.3">
      <c r="C70" s="5" t="s">
        <v>23</v>
      </c>
      <c r="D70" s="7">
        <f>+D63</f>
        <v>-9900000</v>
      </c>
      <c r="L70" s="5" t="s">
        <v>23</v>
      </c>
      <c r="M70" s="7">
        <f>-P60</f>
        <v>0</v>
      </c>
      <c r="O70" s="7">
        <f>-G45</f>
        <v>-9900000</v>
      </c>
    </row>
    <row r="71" spans="2:15" x14ac:dyDescent="0.3">
      <c r="C71" s="5" t="s">
        <v>24</v>
      </c>
      <c r="D71" s="7">
        <f>+D69+D70</f>
        <v>8260000</v>
      </c>
      <c r="L71" s="5" t="s">
        <v>24</v>
      </c>
      <c r="M71" s="7">
        <f>+M69+M70</f>
        <v>0</v>
      </c>
      <c r="O71" s="7">
        <f>+O69+O70</f>
        <v>-12681250</v>
      </c>
    </row>
    <row r="73" spans="2:15" x14ac:dyDescent="0.3">
      <c r="B73" s="11" t="s">
        <v>37</v>
      </c>
      <c r="C73" s="8" t="s">
        <v>10</v>
      </c>
      <c r="D73" s="8" t="s">
        <v>19</v>
      </c>
      <c r="G73" s="34">
        <f>+G67</f>
        <v>305161.29032258067</v>
      </c>
      <c r="K73" s="11">
        <v>4</v>
      </c>
      <c r="L73" s="8" t="s">
        <v>10</v>
      </c>
      <c r="M73" s="8" t="s">
        <v>5</v>
      </c>
      <c r="N73" t="s">
        <v>40</v>
      </c>
      <c r="O73" s="15" t="s">
        <v>41</v>
      </c>
    </row>
    <row r="74" spans="2:15" x14ac:dyDescent="0.3">
      <c r="C74" s="5" t="s">
        <v>20</v>
      </c>
      <c r="D74" s="7">
        <f>+D52</f>
        <v>47300000</v>
      </c>
      <c r="L74" s="5" t="s">
        <v>20</v>
      </c>
      <c r="M74" s="7">
        <v>15500</v>
      </c>
      <c r="N74" s="17">
        <f>+G56</f>
        <v>305161.29032258067</v>
      </c>
      <c r="O74" s="16">
        <f>+M74*N74</f>
        <v>4730000000</v>
      </c>
    </row>
    <row r="75" spans="2:15" x14ac:dyDescent="0.3">
      <c r="C75" s="5" t="s">
        <v>21</v>
      </c>
      <c r="D75" s="7">
        <f>-I35</f>
        <v>-25575000</v>
      </c>
      <c r="L75" s="5" t="s">
        <v>21</v>
      </c>
      <c r="M75" s="7">
        <v>15500</v>
      </c>
      <c r="N75" s="10">
        <f>-I34</f>
        <v>-165000</v>
      </c>
      <c r="O75" s="16">
        <f>+M75*N75</f>
        <v>-2557500000</v>
      </c>
    </row>
    <row r="76" spans="2:15" x14ac:dyDescent="0.3">
      <c r="C76" s="5" t="s">
        <v>22</v>
      </c>
      <c r="D76" s="7">
        <f>+D74+D75</f>
        <v>21725000</v>
      </c>
      <c r="L76" s="5" t="s">
        <v>22</v>
      </c>
      <c r="M76" s="7">
        <f>+M74+M75</f>
        <v>31000</v>
      </c>
      <c r="O76" s="7">
        <f>+O74+O75</f>
        <v>2172500000</v>
      </c>
    </row>
    <row r="77" spans="2:15" x14ac:dyDescent="0.3">
      <c r="C77" s="5" t="s">
        <v>23</v>
      </c>
      <c r="D77" s="7">
        <f>-H45</f>
        <v>-10140000</v>
      </c>
      <c r="L77" s="5" t="s">
        <v>23</v>
      </c>
      <c r="M77" s="7">
        <f>-P67</f>
        <v>0</v>
      </c>
      <c r="O77" s="7">
        <f>-H45</f>
        <v>-10140000</v>
      </c>
    </row>
    <row r="78" spans="2:15" x14ac:dyDescent="0.3">
      <c r="C78" s="5" t="s">
        <v>24</v>
      </c>
      <c r="D78" s="7">
        <f>+D76+D77</f>
        <v>11585000</v>
      </c>
      <c r="L78" s="5" t="s">
        <v>24</v>
      </c>
      <c r="M78" s="7">
        <f>+M76+M77</f>
        <v>31000</v>
      </c>
      <c r="O78" s="7">
        <f>+O76+O77</f>
        <v>2162360000</v>
      </c>
    </row>
    <row r="79" spans="2:15" ht="15" thickBot="1" x14ac:dyDescent="0.35"/>
    <row r="80" spans="2:15" x14ac:dyDescent="0.3">
      <c r="B80" s="11" t="s">
        <v>56</v>
      </c>
      <c r="C80" s="38" t="s">
        <v>57</v>
      </c>
      <c r="D80" s="39"/>
    </row>
    <row r="81" spans="3:4" x14ac:dyDescent="0.3">
      <c r="C81" s="26" t="s">
        <v>38</v>
      </c>
      <c r="D81" s="27">
        <f>(-D55/(G56-G34))</f>
        <v>79.097938144329888</v>
      </c>
    </row>
    <row r="82" spans="3:4" ht="15" thickBot="1" x14ac:dyDescent="0.35">
      <c r="C82" s="28" t="s">
        <v>39</v>
      </c>
      <c r="D82" s="29">
        <f>(-D55/(1-(G34/G56)))</f>
        <v>24137628.865979377</v>
      </c>
    </row>
    <row r="83" spans="3:4" ht="15" thickBot="1" x14ac:dyDescent="0.35"/>
    <row r="84" spans="3:4" x14ac:dyDescent="0.3">
      <c r="C84" s="40" t="s">
        <v>55</v>
      </c>
      <c r="D84" s="41"/>
    </row>
    <row r="85" spans="3:4" x14ac:dyDescent="0.3">
      <c r="C85" s="26" t="s">
        <v>38</v>
      </c>
      <c r="D85" s="27">
        <f>(-D77/(G73-I34))</f>
        <v>72.345224395857301</v>
      </c>
    </row>
    <row r="86" spans="3:4" ht="15" thickBot="1" x14ac:dyDescent="0.35">
      <c r="C86" s="28" t="s">
        <v>39</v>
      </c>
      <c r="D86" s="29">
        <f>(-D77/(1-(I34/G73)))</f>
        <v>22076962.025316454</v>
      </c>
    </row>
  </sheetData>
  <mergeCells count="16">
    <mergeCell ref="B20:C20"/>
    <mergeCell ref="C3:F4"/>
    <mergeCell ref="C12:F15"/>
    <mergeCell ref="B17:C17"/>
    <mergeCell ref="B18:C18"/>
    <mergeCell ref="B19:C19"/>
    <mergeCell ref="B45:C45"/>
    <mergeCell ref="C48:F49"/>
    <mergeCell ref="C80:D80"/>
    <mergeCell ref="C84:D84"/>
    <mergeCell ref="B21:C21"/>
    <mergeCell ref="C25:F26"/>
    <mergeCell ref="C38:F39"/>
    <mergeCell ref="B41:C41"/>
    <mergeCell ref="B42:C42"/>
    <mergeCell ref="B44:C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C400-6C1C-4D2D-9399-9AFDCDB0BD10}">
  <dimension ref="B2:Q86"/>
  <sheetViews>
    <sheetView topLeftCell="B1" workbookViewId="0">
      <selection activeCell="H8" sqref="H8"/>
    </sheetView>
  </sheetViews>
  <sheetFormatPr baseColWidth="10" defaultRowHeight="14.4" x14ac:dyDescent="0.3"/>
  <cols>
    <col min="1" max="1" width="0.88671875" customWidth="1"/>
    <col min="2" max="2" width="40.5546875" customWidth="1"/>
    <col min="3" max="3" width="19.77734375" customWidth="1"/>
    <col min="4" max="4" width="14.5546875" customWidth="1"/>
    <col min="5" max="5" width="15.109375" customWidth="1"/>
    <col min="6" max="6" width="15" customWidth="1"/>
    <col min="7" max="7" width="14.21875" customWidth="1"/>
    <col min="8" max="8" width="19.21875" customWidth="1"/>
    <col min="9" max="9" width="14.88671875" customWidth="1"/>
    <col min="10" max="10" width="13.109375" customWidth="1"/>
    <col min="12" max="12" width="17.109375" bestFit="1" customWidth="1"/>
    <col min="15" max="15" width="14.44140625" customWidth="1"/>
  </cols>
  <sheetData>
    <row r="2" spans="2:7" x14ac:dyDescent="0.3">
      <c r="B2" s="1" t="s">
        <v>0</v>
      </c>
    </row>
    <row r="3" spans="2:7" ht="14.4" customHeight="1" x14ac:dyDescent="0.3">
      <c r="C3" s="42" t="s">
        <v>1</v>
      </c>
      <c r="D3" s="42"/>
      <c r="E3" s="42"/>
      <c r="F3" s="42"/>
      <c r="G3" s="2"/>
    </row>
    <row r="4" spans="2:7" x14ac:dyDescent="0.3">
      <c r="C4" s="42"/>
      <c r="D4" s="42"/>
      <c r="E4" s="42"/>
      <c r="F4" s="42"/>
      <c r="G4" s="2"/>
    </row>
    <row r="5" spans="2:7" x14ac:dyDescent="0.3">
      <c r="C5" s="2"/>
      <c r="D5" s="2"/>
      <c r="E5" s="2"/>
      <c r="F5" s="2"/>
      <c r="G5" s="2"/>
    </row>
    <row r="6" spans="2:7" x14ac:dyDescent="0.3">
      <c r="B6" s="5"/>
      <c r="C6" s="5" t="s">
        <v>2</v>
      </c>
      <c r="D6" s="5" t="s">
        <v>3</v>
      </c>
      <c r="E6" s="5" t="s">
        <v>4</v>
      </c>
      <c r="F6" s="5" t="s">
        <v>45</v>
      </c>
    </row>
    <row r="7" spans="2:7" x14ac:dyDescent="0.3">
      <c r="B7" s="5" t="s">
        <v>5</v>
      </c>
      <c r="C7" s="6">
        <v>50</v>
      </c>
      <c r="D7" s="6">
        <v>45</v>
      </c>
      <c r="E7" s="6">
        <v>60</v>
      </c>
      <c r="F7" s="7">
        <f>SUM(C7:E7)</f>
        <v>155</v>
      </c>
    </row>
    <row r="8" spans="2:7" x14ac:dyDescent="0.3">
      <c r="B8" s="5" t="s">
        <v>7</v>
      </c>
      <c r="C8" s="6">
        <v>0</v>
      </c>
      <c r="D8" s="6">
        <v>0</v>
      </c>
      <c r="E8" s="6">
        <v>0</v>
      </c>
      <c r="F8" s="7">
        <f t="shared" ref="F8:F9" si="0">SUM(C8:E8)</f>
        <v>0</v>
      </c>
    </row>
    <row r="9" spans="2:7" x14ac:dyDescent="0.3">
      <c r="B9" s="5" t="s">
        <v>6</v>
      </c>
      <c r="C9" s="6">
        <f>+C7*C8</f>
        <v>0</v>
      </c>
      <c r="D9" s="6">
        <f t="shared" ref="D9:E9" si="1">+D7*D8</f>
        <v>0</v>
      </c>
      <c r="E9" s="6">
        <f t="shared" si="1"/>
        <v>0</v>
      </c>
      <c r="F9" s="7">
        <f t="shared" si="0"/>
        <v>0</v>
      </c>
    </row>
    <row r="10" spans="2:7" x14ac:dyDescent="0.3">
      <c r="C10" s="3"/>
      <c r="D10" s="3"/>
      <c r="E10" s="3"/>
    </row>
    <row r="11" spans="2:7" x14ac:dyDescent="0.3">
      <c r="B11" s="1" t="s">
        <v>9</v>
      </c>
      <c r="C11" s="3"/>
      <c r="D11" s="3"/>
      <c r="E11" s="3"/>
    </row>
    <row r="12" spans="2:7" ht="14.4" customHeight="1" x14ac:dyDescent="0.3">
      <c r="C12" s="42" t="s">
        <v>42</v>
      </c>
      <c r="D12" s="42"/>
      <c r="E12" s="42"/>
      <c r="F12" s="42"/>
    </row>
    <row r="13" spans="2:7" x14ac:dyDescent="0.3">
      <c r="C13" s="42"/>
      <c r="D13" s="42"/>
      <c r="E13" s="42"/>
      <c r="F13" s="42"/>
    </row>
    <row r="14" spans="2:7" x14ac:dyDescent="0.3">
      <c r="C14" s="42"/>
      <c r="D14" s="42"/>
      <c r="E14" s="42"/>
      <c r="F14" s="42"/>
    </row>
    <row r="15" spans="2:7" x14ac:dyDescent="0.3">
      <c r="C15" s="42"/>
      <c r="D15" s="42"/>
      <c r="E15" s="42"/>
      <c r="F15" s="42"/>
    </row>
    <row r="16" spans="2:7" x14ac:dyDescent="0.3">
      <c r="C16" s="3"/>
      <c r="D16" s="3"/>
      <c r="E16" s="3"/>
    </row>
    <row r="17" spans="2:10" x14ac:dyDescent="0.3">
      <c r="B17" s="42" t="s">
        <v>10</v>
      </c>
      <c r="C17" s="42"/>
      <c r="D17" s="6" t="s">
        <v>2</v>
      </c>
      <c r="E17" s="6" t="s">
        <v>3</v>
      </c>
      <c r="F17" s="6" t="s">
        <v>4</v>
      </c>
      <c r="G17" s="24" t="s">
        <v>45</v>
      </c>
    </row>
    <row r="18" spans="2:10" x14ac:dyDescent="0.3">
      <c r="B18" s="42" t="s">
        <v>11</v>
      </c>
      <c r="C18" s="42"/>
      <c r="D18" s="6">
        <f>+C7</f>
        <v>50</v>
      </c>
      <c r="E18" s="6">
        <f>+D7</f>
        <v>45</v>
      </c>
      <c r="F18" s="6">
        <f>+E7</f>
        <v>60</v>
      </c>
      <c r="G18" s="7">
        <f>SUM(D18:F18)</f>
        <v>155</v>
      </c>
    </row>
    <row r="19" spans="2:10" x14ac:dyDescent="0.3">
      <c r="B19" s="42" t="s">
        <v>12</v>
      </c>
      <c r="C19" s="42"/>
      <c r="D19" s="6">
        <v>0</v>
      </c>
      <c r="E19" s="6">
        <v>0</v>
      </c>
      <c r="F19" s="6">
        <v>0</v>
      </c>
      <c r="G19" s="7">
        <f t="shared" ref="G19:G21" si="2">SUM(D19:F19)</f>
        <v>0</v>
      </c>
    </row>
    <row r="20" spans="2:10" x14ac:dyDescent="0.3">
      <c r="B20" s="42" t="s">
        <v>43</v>
      </c>
      <c r="C20" s="42"/>
      <c r="D20" s="6">
        <f>SUM(D18:D19)</f>
        <v>50</v>
      </c>
      <c r="E20" s="6">
        <f t="shared" ref="E20:F20" si="3">SUM(E18:E19)</f>
        <v>45</v>
      </c>
      <c r="F20" s="6">
        <f t="shared" si="3"/>
        <v>60</v>
      </c>
      <c r="G20" s="7">
        <f t="shared" si="2"/>
        <v>155</v>
      </c>
    </row>
    <row r="21" spans="2:10" x14ac:dyDescent="0.3">
      <c r="B21" s="42" t="s">
        <v>13</v>
      </c>
      <c r="C21" s="42"/>
      <c r="D21" s="6">
        <v>0</v>
      </c>
      <c r="E21" s="6">
        <v>0</v>
      </c>
      <c r="F21" s="6">
        <v>0</v>
      </c>
      <c r="G21" s="7">
        <f t="shared" si="2"/>
        <v>0</v>
      </c>
    </row>
    <row r="24" spans="2:10" x14ac:dyDescent="0.3">
      <c r="B24" s="1" t="s">
        <v>27</v>
      </c>
    </row>
    <row r="25" spans="2:10" x14ac:dyDescent="0.3">
      <c r="C25" s="37" t="s">
        <v>14</v>
      </c>
      <c r="D25" s="37"/>
      <c r="E25" s="37"/>
      <c r="F25" s="37"/>
    </row>
    <row r="26" spans="2:10" x14ac:dyDescent="0.3">
      <c r="C26" s="37"/>
      <c r="D26" s="37"/>
      <c r="E26" s="37"/>
      <c r="F26" s="37"/>
    </row>
    <row r="28" spans="2:10" x14ac:dyDescent="0.3">
      <c r="B28" s="8" t="s">
        <v>25</v>
      </c>
      <c r="C28" s="5"/>
      <c r="D28" s="7" t="str">
        <f>+D17</f>
        <v>Enero</v>
      </c>
      <c r="E28" s="7" t="str">
        <f>+E17</f>
        <v>Febrero</v>
      </c>
      <c r="F28" s="7" t="str">
        <f>+F17</f>
        <v>Marzo</v>
      </c>
      <c r="G28" s="15" t="s">
        <v>45</v>
      </c>
      <c r="H28" s="5" t="s">
        <v>50</v>
      </c>
      <c r="I28" s="5" t="s">
        <v>51</v>
      </c>
    </row>
    <row r="29" spans="2:10" x14ac:dyDescent="0.3">
      <c r="B29" s="5" t="s">
        <v>15</v>
      </c>
      <c r="C29" s="5"/>
      <c r="D29" s="6">
        <f>+D20</f>
        <v>50</v>
      </c>
      <c r="E29" s="6">
        <f>+E20</f>
        <v>45</v>
      </c>
      <c r="F29" s="6">
        <f>+F20</f>
        <v>60</v>
      </c>
      <c r="G29" s="21">
        <f>SUM(D29:F29)</f>
        <v>155</v>
      </c>
      <c r="H29" s="7">
        <f>+G29</f>
        <v>155</v>
      </c>
      <c r="I29" s="7">
        <f>+H29</f>
        <v>155</v>
      </c>
    </row>
    <row r="30" spans="2:10" x14ac:dyDescent="0.3">
      <c r="B30" s="5"/>
      <c r="C30" s="5"/>
      <c r="D30" s="6"/>
      <c r="E30" s="6"/>
      <c r="F30" s="6"/>
      <c r="G30" s="15"/>
      <c r="H30" s="5"/>
      <c r="I30" s="5"/>
    </row>
    <row r="31" spans="2:10" x14ac:dyDescent="0.3">
      <c r="B31" s="5" t="s">
        <v>63</v>
      </c>
      <c r="C31" s="5" t="s">
        <v>52</v>
      </c>
      <c r="D31" s="9">
        <v>80000</v>
      </c>
      <c r="E31" s="9">
        <f>+D31</f>
        <v>80000</v>
      </c>
      <c r="F31" s="9">
        <f>+E31</f>
        <v>80000</v>
      </c>
      <c r="G31" s="22">
        <f>+F31</f>
        <v>80000</v>
      </c>
      <c r="H31" s="9">
        <f>+G31*1.1</f>
        <v>88000</v>
      </c>
      <c r="I31" s="19">
        <f>+F31</f>
        <v>80000</v>
      </c>
    </row>
    <row r="32" spans="2:10" x14ac:dyDescent="0.3">
      <c r="B32" s="5" t="s">
        <v>64</v>
      </c>
      <c r="C32" s="5" t="s">
        <v>53</v>
      </c>
      <c r="D32" s="9">
        <v>60000</v>
      </c>
      <c r="E32" s="9">
        <f t="shared" ref="E32:F33" si="4">+D32</f>
        <v>60000</v>
      </c>
      <c r="F32" s="9">
        <f t="shared" si="4"/>
        <v>60000</v>
      </c>
      <c r="G32" s="22">
        <f>+F32</f>
        <v>60000</v>
      </c>
      <c r="H32" s="19">
        <f>+G32</f>
        <v>60000</v>
      </c>
      <c r="I32" s="25">
        <v>45000</v>
      </c>
      <c r="J32" s="10"/>
    </row>
    <row r="33" spans="2:10" x14ac:dyDescent="0.3">
      <c r="B33" s="5" t="s">
        <v>65</v>
      </c>
      <c r="C33" s="5" t="s">
        <v>29</v>
      </c>
      <c r="D33" s="9">
        <v>40000</v>
      </c>
      <c r="E33" s="9">
        <f t="shared" si="4"/>
        <v>40000</v>
      </c>
      <c r="F33" s="9">
        <f t="shared" si="4"/>
        <v>40000</v>
      </c>
      <c r="G33" s="22">
        <f>+F33</f>
        <v>40000</v>
      </c>
      <c r="H33" s="19">
        <f>+G33</f>
        <v>40000</v>
      </c>
      <c r="I33" s="25">
        <f>+H33</f>
        <v>40000</v>
      </c>
      <c r="J33" s="10"/>
    </row>
    <row r="34" spans="2:10" x14ac:dyDescent="0.3">
      <c r="B34" s="5"/>
      <c r="C34" s="5"/>
      <c r="D34" s="9">
        <f>SUM(D31:D33)</f>
        <v>180000</v>
      </c>
      <c r="E34" s="9">
        <f t="shared" ref="E34:F34" si="5">SUM(E31:E33)</f>
        <v>180000</v>
      </c>
      <c r="F34" s="9">
        <f t="shared" si="5"/>
        <v>180000</v>
      </c>
      <c r="G34" s="22">
        <f>SUM(G31:G33)</f>
        <v>180000</v>
      </c>
      <c r="H34" s="25">
        <f>SUM(H31:H33)</f>
        <v>188000</v>
      </c>
      <c r="I34" s="19">
        <f>SUM(I31:I33)</f>
        <v>165000</v>
      </c>
      <c r="J34" s="10"/>
    </row>
    <row r="35" spans="2:10" x14ac:dyDescent="0.3">
      <c r="B35" s="5" t="s">
        <v>44</v>
      </c>
      <c r="C35" s="5"/>
      <c r="D35" s="31">
        <f>+D29*D34</f>
        <v>9000000</v>
      </c>
      <c r="E35" s="31">
        <f>+E29*E34</f>
        <v>8100000</v>
      </c>
      <c r="F35" s="31">
        <f t="shared" ref="F35" si="6">+F29*F34</f>
        <v>10800000</v>
      </c>
      <c r="G35" s="32">
        <f>SUM(D35:F35)</f>
        <v>27900000</v>
      </c>
      <c r="H35" s="19">
        <f>+H29*H34</f>
        <v>29140000</v>
      </c>
      <c r="I35" s="19">
        <f>+I29*I34</f>
        <v>25575000</v>
      </c>
    </row>
    <row r="37" spans="2:10" x14ac:dyDescent="0.3">
      <c r="B37" s="1" t="s">
        <v>30</v>
      </c>
    </row>
    <row r="38" spans="2:10" x14ac:dyDescent="0.3">
      <c r="C38" s="37" t="s">
        <v>16</v>
      </c>
      <c r="D38" s="37"/>
      <c r="E38" s="37"/>
      <c r="F38" s="37"/>
    </row>
    <row r="39" spans="2:10" x14ac:dyDescent="0.3">
      <c r="C39" s="37"/>
      <c r="D39" s="37"/>
      <c r="E39" s="37"/>
      <c r="F39" s="37"/>
    </row>
    <row r="41" spans="2:10" x14ac:dyDescent="0.3">
      <c r="B41" s="35" t="s">
        <v>10</v>
      </c>
      <c r="C41" s="36"/>
      <c r="D41" s="6" t="s">
        <v>2</v>
      </c>
      <c r="E41" s="6" t="s">
        <v>3</v>
      </c>
      <c r="F41" s="6" t="s">
        <v>4</v>
      </c>
      <c r="G41" s="24" t="s">
        <v>47</v>
      </c>
      <c r="H41" s="24" t="s">
        <v>54</v>
      </c>
    </row>
    <row r="42" spans="2:10" x14ac:dyDescent="0.3">
      <c r="B42" s="35" t="s">
        <v>66</v>
      </c>
      <c r="C42" s="36"/>
      <c r="D42" s="6">
        <v>500000</v>
      </c>
      <c r="E42" s="6">
        <f>+D42</f>
        <v>500000</v>
      </c>
      <c r="F42" s="6">
        <f>+E42</f>
        <v>500000</v>
      </c>
      <c r="G42" s="7">
        <f>SUM(D42:F42)</f>
        <v>1500000</v>
      </c>
      <c r="H42" s="7">
        <f>+G42</f>
        <v>1500000</v>
      </c>
    </row>
    <row r="43" spans="2:10" x14ac:dyDescent="0.3">
      <c r="B43" s="13" t="s">
        <v>46</v>
      </c>
      <c r="C43" s="14"/>
      <c r="D43" s="6">
        <v>0</v>
      </c>
      <c r="E43" s="6">
        <v>0</v>
      </c>
      <c r="F43" s="6">
        <v>0</v>
      </c>
      <c r="G43" s="7">
        <f t="shared" ref="G43:G45" si="7">SUM(D43:F43)</f>
        <v>0</v>
      </c>
      <c r="H43" s="5"/>
    </row>
    <row r="44" spans="2:10" x14ac:dyDescent="0.3">
      <c r="B44" s="35" t="s">
        <v>62</v>
      </c>
      <c r="C44" s="36"/>
      <c r="D44" s="6">
        <v>2800000</v>
      </c>
      <c r="E44" s="6">
        <f>+D44</f>
        <v>2800000</v>
      </c>
      <c r="F44" s="6">
        <v>2800000</v>
      </c>
      <c r="G44" s="7">
        <f t="shared" si="7"/>
        <v>8400000</v>
      </c>
      <c r="H44" s="6">
        <f>+G44+((-100000+180000)*3)</f>
        <v>8640000</v>
      </c>
    </row>
    <row r="45" spans="2:10" x14ac:dyDescent="0.3">
      <c r="B45" s="35" t="s">
        <v>33</v>
      </c>
      <c r="C45" s="36"/>
      <c r="D45" s="18">
        <f>SUM(D42:D44)</f>
        <v>3300000</v>
      </c>
      <c r="E45" s="18">
        <f t="shared" ref="E45:F45" si="8">SUM(E42:E44)</f>
        <v>3300000</v>
      </c>
      <c r="F45" s="18">
        <f t="shared" si="8"/>
        <v>3300000</v>
      </c>
      <c r="G45" s="20">
        <f t="shared" si="7"/>
        <v>9900000</v>
      </c>
      <c r="H45" s="7">
        <f>SUM(H42:H44)</f>
        <v>10140000</v>
      </c>
    </row>
    <row r="47" spans="2:10" x14ac:dyDescent="0.3">
      <c r="B47" s="1" t="s">
        <v>17</v>
      </c>
    </row>
    <row r="48" spans="2:10" x14ac:dyDescent="0.3">
      <c r="C48" s="37" t="s">
        <v>18</v>
      </c>
      <c r="D48" s="37"/>
      <c r="E48" s="37"/>
      <c r="F48" s="37"/>
    </row>
    <row r="49" spans="2:17" x14ac:dyDescent="0.3">
      <c r="C49" s="37"/>
      <c r="D49" s="37"/>
      <c r="E49" s="37"/>
      <c r="F49" s="37"/>
    </row>
    <row r="51" spans="2:17" x14ac:dyDescent="0.3">
      <c r="B51" s="11" t="s">
        <v>34</v>
      </c>
      <c r="C51" s="8" t="s">
        <v>10</v>
      </c>
      <c r="D51" s="8" t="s">
        <v>19</v>
      </c>
      <c r="H51" s="5" t="s">
        <v>38</v>
      </c>
      <c r="I51" s="12">
        <f>(-D55/(+G56-G34))</f>
        <v>79.097938144329888</v>
      </c>
      <c r="K51" s="11" t="s">
        <v>34</v>
      </c>
      <c r="L51" s="8" t="s">
        <v>10</v>
      </c>
      <c r="M51" s="8" t="s">
        <v>5</v>
      </c>
      <c r="N51" t="s">
        <v>40</v>
      </c>
      <c r="O51" s="15" t="s">
        <v>41</v>
      </c>
    </row>
    <row r="52" spans="2:17" x14ac:dyDescent="0.3">
      <c r="C52" s="5" t="s">
        <v>20</v>
      </c>
      <c r="D52" s="7">
        <f>+F7*G56</f>
        <v>47300000</v>
      </c>
      <c r="H52" s="5" t="s">
        <v>39</v>
      </c>
      <c r="I52" s="12">
        <f>(-D55/((1-(G34/G56))))</f>
        <v>24137628.865979377</v>
      </c>
      <c r="L52" s="5" t="s">
        <v>20</v>
      </c>
      <c r="M52" s="7">
        <v>15</v>
      </c>
      <c r="N52" s="17">
        <f>-Q56/M52</f>
        <v>2583.3333333333335</v>
      </c>
      <c r="O52" s="12">
        <f>+M52*N52</f>
        <v>38750</v>
      </c>
    </row>
    <row r="53" spans="2:17" x14ac:dyDescent="0.3">
      <c r="C53" s="5" t="s">
        <v>21</v>
      </c>
      <c r="D53" s="7">
        <f>-G35</f>
        <v>-27900000</v>
      </c>
      <c r="L53" s="5" t="s">
        <v>21</v>
      </c>
      <c r="M53" s="7">
        <v>15</v>
      </c>
      <c r="N53" s="10">
        <f>-G34</f>
        <v>-180000</v>
      </c>
      <c r="O53" s="12">
        <f>+M53*N53</f>
        <v>-2700000</v>
      </c>
    </row>
    <row r="54" spans="2:17" x14ac:dyDescent="0.3">
      <c r="C54" s="5" t="s">
        <v>22</v>
      </c>
      <c r="D54" s="7">
        <f>+D52+D53</f>
        <v>19400000</v>
      </c>
      <c r="L54" s="5" t="s">
        <v>22</v>
      </c>
      <c r="M54" s="7"/>
      <c r="O54" s="12">
        <f>+O52+O53</f>
        <v>-2661250</v>
      </c>
    </row>
    <row r="55" spans="2:17" x14ac:dyDescent="0.3">
      <c r="C55" s="5" t="s">
        <v>23</v>
      </c>
      <c r="D55" s="7">
        <f>-G45</f>
        <v>-9900000</v>
      </c>
      <c r="L55" s="5" t="s">
        <v>23</v>
      </c>
      <c r="M55" s="7">
        <f>-P45</f>
        <v>0</v>
      </c>
      <c r="O55" s="12">
        <f>-G45</f>
        <v>-9900000</v>
      </c>
    </row>
    <row r="56" spans="2:17" x14ac:dyDescent="0.3">
      <c r="C56" s="5" t="s">
        <v>24</v>
      </c>
      <c r="D56" s="7">
        <f>+D54+D55</f>
        <v>9500000</v>
      </c>
      <c r="F56">
        <v>47300000</v>
      </c>
      <c r="G56" s="31">
        <f>+F56/G20</f>
        <v>305161.29032258067</v>
      </c>
      <c r="H56" s="8" t="s">
        <v>48</v>
      </c>
      <c r="I56" s="8"/>
      <c r="J56" s="8"/>
      <c r="L56" s="5" t="s">
        <v>24</v>
      </c>
      <c r="M56" s="7">
        <f>+M54+M55</f>
        <v>0</v>
      </c>
      <c r="O56" s="12">
        <f>+O54+O55</f>
        <v>-12561250</v>
      </c>
      <c r="Q56" s="4">
        <f>-37800-950</f>
        <v>-38750</v>
      </c>
    </row>
    <row r="59" spans="2:17" x14ac:dyDescent="0.3">
      <c r="B59" s="11" t="s">
        <v>35</v>
      </c>
      <c r="C59" s="8" t="s">
        <v>10</v>
      </c>
      <c r="D59" s="8" t="s">
        <v>19</v>
      </c>
      <c r="K59" s="11" t="s">
        <v>35</v>
      </c>
      <c r="L59" s="8" t="s">
        <v>10</v>
      </c>
      <c r="M59" s="8" t="s">
        <v>5</v>
      </c>
      <c r="N59" t="s">
        <v>40</v>
      </c>
      <c r="O59" s="15" t="s">
        <v>41</v>
      </c>
    </row>
    <row r="60" spans="2:17" x14ac:dyDescent="0.3">
      <c r="C60" s="5" t="s">
        <v>20</v>
      </c>
      <c r="D60" s="7">
        <f>+F7*G64</f>
        <v>42570000.000000007</v>
      </c>
      <c r="L60" s="5" t="s">
        <v>20</v>
      </c>
      <c r="M60" s="7">
        <v>15</v>
      </c>
      <c r="N60" s="17">
        <f>+N52*(1-0.1)</f>
        <v>2325</v>
      </c>
      <c r="O60" s="12">
        <f>+M60*N60</f>
        <v>34875</v>
      </c>
    </row>
    <row r="61" spans="2:17" x14ac:dyDescent="0.3">
      <c r="C61" s="5" t="s">
        <v>21</v>
      </c>
      <c r="D61" s="7">
        <f>+D53</f>
        <v>-27900000</v>
      </c>
      <c r="L61" s="5" t="s">
        <v>21</v>
      </c>
      <c r="M61" s="7">
        <v>15</v>
      </c>
      <c r="N61" s="10">
        <f>+N53</f>
        <v>-180000</v>
      </c>
      <c r="O61" s="12">
        <f>+M61*N61</f>
        <v>-2700000</v>
      </c>
    </row>
    <row r="62" spans="2:17" x14ac:dyDescent="0.3">
      <c r="C62" s="5" t="s">
        <v>22</v>
      </c>
      <c r="D62" s="7">
        <f>+D60+D61</f>
        <v>14670000.000000007</v>
      </c>
      <c r="L62" s="5" t="s">
        <v>22</v>
      </c>
      <c r="M62" s="7"/>
      <c r="O62" s="12">
        <f>+O60+O61</f>
        <v>-2665125</v>
      </c>
    </row>
    <row r="63" spans="2:17" x14ac:dyDescent="0.3">
      <c r="C63" s="5" t="s">
        <v>23</v>
      </c>
      <c r="D63" s="7">
        <f>+D55</f>
        <v>-9900000</v>
      </c>
      <c r="L63" s="5" t="s">
        <v>23</v>
      </c>
      <c r="M63" s="7">
        <f>-P53</f>
        <v>0</v>
      </c>
      <c r="O63" s="12">
        <f>-G45</f>
        <v>-9900000</v>
      </c>
    </row>
    <row r="64" spans="2:17" x14ac:dyDescent="0.3">
      <c r="C64" s="5" t="s">
        <v>24</v>
      </c>
      <c r="D64" s="7">
        <f>+D62+D63</f>
        <v>4770000.0000000075</v>
      </c>
      <c r="G64" s="31">
        <f>+G56*0.9</f>
        <v>274645.16129032261</v>
      </c>
      <c r="H64" s="8" t="s">
        <v>49</v>
      </c>
      <c r="I64" s="8"/>
      <c r="J64" s="8"/>
      <c r="L64" s="5" t="s">
        <v>24</v>
      </c>
      <c r="M64" s="7">
        <f>+M62+M63</f>
        <v>0</v>
      </c>
      <c r="O64" s="12">
        <f>+O62+O63</f>
        <v>-12565125</v>
      </c>
    </row>
    <row r="66" spans="2:15" x14ac:dyDescent="0.3">
      <c r="B66" s="11" t="s">
        <v>36</v>
      </c>
      <c r="C66" s="8" t="s">
        <v>10</v>
      </c>
      <c r="D66" s="8" t="s">
        <v>19</v>
      </c>
      <c r="K66" s="11" t="s">
        <v>36</v>
      </c>
      <c r="L66" s="8" t="s">
        <v>10</v>
      </c>
      <c r="M66" s="8" t="s">
        <v>5</v>
      </c>
      <c r="N66" t="s">
        <v>40</v>
      </c>
      <c r="O66" s="15" t="s">
        <v>41</v>
      </c>
    </row>
    <row r="67" spans="2:15" x14ac:dyDescent="0.3">
      <c r="C67" s="5" t="s">
        <v>20</v>
      </c>
      <c r="D67" s="7">
        <f>+F7*G67</f>
        <v>47300000</v>
      </c>
      <c r="G67" s="34">
        <f>+G56</f>
        <v>305161.29032258067</v>
      </c>
      <c r="L67" s="5" t="s">
        <v>20</v>
      </c>
      <c r="M67" s="7">
        <v>15</v>
      </c>
      <c r="N67" s="17">
        <f>+N52</f>
        <v>2583.3333333333335</v>
      </c>
      <c r="O67" s="16">
        <f>+M67*N67</f>
        <v>38750</v>
      </c>
    </row>
    <row r="68" spans="2:15" x14ac:dyDescent="0.3">
      <c r="C68" s="5" t="s">
        <v>21</v>
      </c>
      <c r="D68" s="7">
        <f>-H35</f>
        <v>-29140000</v>
      </c>
      <c r="L68" s="5" t="s">
        <v>21</v>
      </c>
      <c r="M68" s="7">
        <v>15</v>
      </c>
      <c r="N68" s="10">
        <f>-H34</f>
        <v>-188000</v>
      </c>
      <c r="O68" s="16">
        <f>+M68*N68</f>
        <v>-2820000</v>
      </c>
    </row>
    <row r="69" spans="2:15" x14ac:dyDescent="0.3">
      <c r="C69" s="5" t="s">
        <v>22</v>
      </c>
      <c r="D69" s="7">
        <f>+D67+D68</f>
        <v>18160000</v>
      </c>
      <c r="L69" s="5" t="s">
        <v>22</v>
      </c>
      <c r="M69" s="7"/>
      <c r="O69" s="7">
        <f>+O67+O68</f>
        <v>-2781250</v>
      </c>
    </row>
    <row r="70" spans="2:15" x14ac:dyDescent="0.3">
      <c r="C70" s="5" t="s">
        <v>23</v>
      </c>
      <c r="D70" s="7">
        <f>+D63</f>
        <v>-9900000</v>
      </c>
      <c r="L70" s="5" t="s">
        <v>23</v>
      </c>
      <c r="M70" s="7">
        <f>-P60</f>
        <v>0</v>
      </c>
      <c r="O70" s="7">
        <f>-G45</f>
        <v>-9900000</v>
      </c>
    </row>
    <row r="71" spans="2:15" x14ac:dyDescent="0.3">
      <c r="C71" s="5" t="s">
        <v>24</v>
      </c>
      <c r="D71" s="7">
        <f>+D69+D70</f>
        <v>8260000</v>
      </c>
      <c r="L71" s="5" t="s">
        <v>24</v>
      </c>
      <c r="M71" s="7">
        <f>+M69+M70</f>
        <v>0</v>
      </c>
      <c r="O71" s="7">
        <f>+O69+O70</f>
        <v>-12681250</v>
      </c>
    </row>
    <row r="73" spans="2:15" x14ac:dyDescent="0.3">
      <c r="B73" s="11" t="s">
        <v>37</v>
      </c>
      <c r="C73" s="8" t="s">
        <v>10</v>
      </c>
      <c r="D73" s="8" t="s">
        <v>19</v>
      </c>
      <c r="G73" s="34">
        <f>+G67</f>
        <v>305161.29032258067</v>
      </c>
      <c r="K73" s="11">
        <v>4</v>
      </c>
      <c r="L73" s="8" t="s">
        <v>10</v>
      </c>
      <c r="M73" s="8" t="s">
        <v>5</v>
      </c>
      <c r="N73" t="s">
        <v>40</v>
      </c>
      <c r="O73" s="15" t="s">
        <v>41</v>
      </c>
    </row>
    <row r="74" spans="2:15" x14ac:dyDescent="0.3">
      <c r="C74" s="5" t="s">
        <v>20</v>
      </c>
      <c r="D74" s="7">
        <f>+D52</f>
        <v>47300000</v>
      </c>
      <c r="L74" s="5" t="s">
        <v>20</v>
      </c>
      <c r="M74" s="7">
        <v>15500</v>
      </c>
      <c r="N74" s="17">
        <f>+G56</f>
        <v>305161.29032258067</v>
      </c>
      <c r="O74" s="16">
        <f>+M74*N74</f>
        <v>4730000000</v>
      </c>
    </row>
    <row r="75" spans="2:15" x14ac:dyDescent="0.3">
      <c r="C75" s="5" t="s">
        <v>21</v>
      </c>
      <c r="D75" s="7">
        <f>-I35</f>
        <v>-25575000</v>
      </c>
      <c r="L75" s="5" t="s">
        <v>21</v>
      </c>
      <c r="M75" s="7">
        <v>15500</v>
      </c>
      <c r="N75" s="10">
        <f>-I34</f>
        <v>-165000</v>
      </c>
      <c r="O75" s="16">
        <f>+M75*N75</f>
        <v>-2557500000</v>
      </c>
    </row>
    <row r="76" spans="2:15" x14ac:dyDescent="0.3">
      <c r="C76" s="5" t="s">
        <v>22</v>
      </c>
      <c r="D76" s="7">
        <f>+D74+D75</f>
        <v>21725000</v>
      </c>
      <c r="L76" s="5" t="s">
        <v>22</v>
      </c>
      <c r="M76" s="7">
        <f>+M74+M75</f>
        <v>31000</v>
      </c>
      <c r="O76" s="7">
        <f>+O74+O75</f>
        <v>2172500000</v>
      </c>
    </row>
    <row r="77" spans="2:15" x14ac:dyDescent="0.3">
      <c r="C77" s="5" t="s">
        <v>23</v>
      </c>
      <c r="D77" s="7">
        <f>-H45</f>
        <v>-10140000</v>
      </c>
      <c r="L77" s="5" t="s">
        <v>23</v>
      </c>
      <c r="M77" s="7">
        <f>-P67</f>
        <v>0</v>
      </c>
      <c r="O77" s="7">
        <f>-H45</f>
        <v>-10140000</v>
      </c>
    </row>
    <row r="78" spans="2:15" x14ac:dyDescent="0.3">
      <c r="C78" s="5" t="s">
        <v>24</v>
      </c>
      <c r="D78" s="7">
        <f>+D76+D77</f>
        <v>11585000</v>
      </c>
      <c r="L78" s="5" t="s">
        <v>24</v>
      </c>
      <c r="M78" s="7">
        <f>+M76+M77</f>
        <v>31000</v>
      </c>
      <c r="O78" s="7">
        <f>+O76+O77</f>
        <v>2162360000</v>
      </c>
    </row>
    <row r="79" spans="2:15" ht="15" thickBot="1" x14ac:dyDescent="0.35"/>
    <row r="80" spans="2:15" x14ac:dyDescent="0.3">
      <c r="B80" s="11" t="s">
        <v>56</v>
      </c>
      <c r="C80" s="38" t="s">
        <v>57</v>
      </c>
      <c r="D80" s="39"/>
    </row>
    <row r="81" spans="3:4" x14ac:dyDescent="0.3">
      <c r="C81" s="26" t="s">
        <v>38</v>
      </c>
      <c r="D81" s="27">
        <f>(-D55/(G56-G34))</f>
        <v>79.097938144329888</v>
      </c>
    </row>
    <row r="82" spans="3:4" ht="15" thickBot="1" x14ac:dyDescent="0.35">
      <c r="C82" s="28" t="s">
        <v>39</v>
      </c>
      <c r="D82" s="29">
        <f>(-D55/(1-(G34/G56)))</f>
        <v>24137628.865979377</v>
      </c>
    </row>
    <row r="83" spans="3:4" ht="15" thickBot="1" x14ac:dyDescent="0.35"/>
    <row r="84" spans="3:4" x14ac:dyDescent="0.3">
      <c r="C84" s="40" t="s">
        <v>55</v>
      </c>
      <c r="D84" s="41"/>
    </row>
    <row r="85" spans="3:4" x14ac:dyDescent="0.3">
      <c r="C85" s="26" t="s">
        <v>38</v>
      </c>
      <c r="D85" s="27">
        <f>(-D77/(G73-I34))</f>
        <v>72.345224395857301</v>
      </c>
    </row>
    <row r="86" spans="3:4" ht="15" thickBot="1" x14ac:dyDescent="0.35">
      <c r="C86" s="28" t="s">
        <v>39</v>
      </c>
      <c r="D86" s="29">
        <f>(-D77/(1-(I34/G73)))</f>
        <v>22076962.025316454</v>
      </c>
    </row>
  </sheetData>
  <mergeCells count="16">
    <mergeCell ref="B20:C20"/>
    <mergeCell ref="C3:F4"/>
    <mergeCell ref="C12:F15"/>
    <mergeCell ref="B17:C17"/>
    <mergeCell ref="B18:C18"/>
    <mergeCell ref="B19:C19"/>
    <mergeCell ref="B45:C45"/>
    <mergeCell ref="C48:F49"/>
    <mergeCell ref="C80:D80"/>
    <mergeCell ref="C84:D84"/>
    <mergeCell ref="B21:C21"/>
    <mergeCell ref="C25:F26"/>
    <mergeCell ref="C38:F39"/>
    <mergeCell ref="B41:C41"/>
    <mergeCell ref="B42:C42"/>
    <mergeCell ref="B44:C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Ejercicio I</vt:lpstr>
      <vt:lpstr>Ejercicio II</vt:lpstr>
      <vt:lpstr>Ejercicio III</vt:lpstr>
      <vt:lpstr>Ejercicio IV</vt:lpstr>
      <vt:lpstr>Ejercicio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Lagos</dc:creator>
  <cp:lastModifiedBy>Fernando Lagos</cp:lastModifiedBy>
  <dcterms:created xsi:type="dcterms:W3CDTF">2025-09-08T22:18:38Z</dcterms:created>
  <dcterms:modified xsi:type="dcterms:W3CDTF">2026-09-22T19:11:00Z</dcterms:modified>
</cp:coreProperties>
</file>